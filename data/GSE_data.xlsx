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SC\MSc Forensic Accounting and Fraud Examination\Proect work\main\"/>
    </mc:Choice>
  </mc:AlternateContent>
  <bookViews>
    <workbookView xWindow="0" yWindow="0" windowWidth="22992" windowHeight="9024" tabRatio="500"/>
  </bookViews>
  <sheets>
    <sheet name="Listed Firms" sheetId="1" r:id="rId1"/>
    <sheet name="Raw Data Input" sheetId="2" r:id="rId2"/>
    <sheet name="Lookups" sheetId="3" r:id="rId3"/>
    <sheet name="M-Score &amp; Ratios" sheetId="4" r:id="rId4"/>
    <sheet name="Formula Reference" sheetId="5" r:id="rId5"/>
    <sheet name="Where to Find Each Input" sheetId="6" r:id="rId6"/>
  </sheets>
  <definedNames>
    <definedName name="_xlnm._FilterDatabase" localSheetId="0" hidden="1">'Listed Firms'!$A$4:$H$33</definedName>
    <definedName name="_xlnm._FilterDatabase" localSheetId="3" hidden="1">'M-Score &amp; Ratios'!$A$4:$Q$4</definedName>
    <definedName name="_xlnm._FilterDatabase" localSheetId="1" hidden="1">'Raw Data Input'!$A$4:$U$4</definedName>
    <definedName name="_xlnm._FilterDatabase" localSheetId="5" hidden="1">'Where to Find Each Input'!$A$4:$D$4</definedName>
  </definedNames>
  <calcPr calcId="162913"/>
</workbook>
</file>

<file path=xl/calcChain.xml><?xml version="1.0" encoding="utf-8"?>
<calcChain xmlns="http://schemas.openxmlformats.org/spreadsheetml/2006/main">
  <c r="U59" i="2" l="1"/>
  <c r="U53" i="2"/>
  <c r="U29" i="2" l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4" i="2"/>
  <c r="U55" i="2"/>
  <c r="U56" i="2"/>
  <c r="U57" i="2"/>
  <c r="U58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E98" i="3" l="1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U5" i="2"/>
  <c r="D5" i="2"/>
  <c r="J49" i="3" l="1"/>
  <c r="AG14" i="3"/>
  <c r="W18" i="3"/>
  <c r="O22" i="3"/>
  <c r="AC25" i="3"/>
  <c r="Q6" i="3"/>
  <c r="Q10" i="3"/>
  <c r="AE14" i="3"/>
  <c r="I17" i="3"/>
  <c r="AG21" i="3"/>
  <c r="AG24" i="3"/>
  <c r="AG29" i="3"/>
  <c r="AH45" i="3"/>
  <c r="AG56" i="3"/>
  <c r="T16" i="3"/>
  <c r="AI21" i="3"/>
  <c r="AG32" i="3"/>
  <c r="Q8" i="3"/>
  <c r="Q13" i="3"/>
  <c r="AA16" i="3"/>
  <c r="S20" i="3"/>
  <c r="Y34" i="3"/>
  <c r="AH65" i="3"/>
  <c r="AH61" i="3"/>
  <c r="Z57" i="3"/>
  <c r="AF54" i="3"/>
  <c r="X50" i="3"/>
  <c r="P46" i="3"/>
  <c r="I34" i="3"/>
  <c r="M33" i="3"/>
  <c r="Q32" i="3"/>
  <c r="I26" i="3"/>
  <c r="M25" i="3"/>
  <c r="Q24" i="3"/>
  <c r="G22" i="3"/>
  <c r="Y21" i="3"/>
  <c r="K20" i="3"/>
  <c r="O18" i="3"/>
  <c r="AG17" i="3"/>
  <c r="S16" i="3"/>
  <c r="M15" i="3"/>
  <c r="W14" i="3"/>
  <c r="I13" i="3"/>
  <c r="O13" i="4" s="1"/>
  <c r="AA12" i="3"/>
  <c r="P10" i="3"/>
  <c r="P9" i="3"/>
  <c r="P8" i="3"/>
  <c r="P7" i="3"/>
  <c r="P6" i="3"/>
  <c r="P5" i="3"/>
  <c r="AD81" i="3"/>
  <c r="Z66" i="3"/>
  <c r="Z62" i="3"/>
  <c r="H58" i="3"/>
  <c r="N55" i="3"/>
  <c r="F51" i="3"/>
  <c r="AD47" i="3"/>
  <c r="AH43" i="3"/>
  <c r="AH42" i="3"/>
  <c r="AH41" i="3"/>
  <c r="AH40" i="3"/>
  <c r="AH39" i="3"/>
  <c r="AH38" i="3"/>
  <c r="AH37" i="3"/>
  <c r="AH36" i="3"/>
  <c r="Y30" i="3"/>
  <c r="AC29" i="3"/>
  <c r="AG28" i="3"/>
  <c r="AE22" i="3"/>
  <c r="Q21" i="3"/>
  <c r="AI20" i="3"/>
  <c r="G18" i="3"/>
  <c r="Y17" i="3"/>
  <c r="K16" i="3"/>
  <c r="O14" i="3"/>
  <c r="AG13" i="3"/>
  <c r="S12" i="3"/>
  <c r="M11" i="3"/>
  <c r="K10" i="3"/>
  <c r="K9" i="3"/>
  <c r="K8" i="3"/>
  <c r="K7" i="3"/>
  <c r="K6" i="3"/>
  <c r="K5" i="3"/>
  <c r="J98" i="3"/>
  <c r="S77" i="3"/>
  <c r="AH63" i="3"/>
  <c r="V59" i="3"/>
  <c r="AB52" i="3"/>
  <c r="T48" i="3"/>
  <c r="M44" i="3"/>
  <c r="M43" i="3"/>
  <c r="M42" i="3"/>
  <c r="M41" i="3"/>
  <c r="M40" i="3"/>
  <c r="M39" i="3"/>
  <c r="M38" i="3"/>
  <c r="M37" i="3"/>
  <c r="Q36" i="3"/>
  <c r="I30" i="3"/>
  <c r="M29" i="3"/>
  <c r="Q28" i="3"/>
  <c r="W22" i="3"/>
  <c r="I21" i="3"/>
  <c r="AA20" i="3"/>
  <c r="AE18" i="3"/>
  <c r="Q17" i="3"/>
  <c r="AI16" i="3"/>
  <c r="G14" i="3"/>
  <c r="Y13" i="3"/>
  <c r="K12" i="3"/>
  <c r="Z64" i="3"/>
  <c r="L60" i="3"/>
  <c r="Q5" i="3"/>
  <c r="Q7" i="3"/>
  <c r="Q9" i="3"/>
  <c r="O11" i="3"/>
  <c r="AI12" i="3"/>
  <c r="M19" i="3"/>
  <c r="Y26" i="3"/>
  <c r="AC30" i="3"/>
  <c r="AC33" i="3"/>
  <c r="R53" i="3"/>
  <c r="AI5" i="3"/>
  <c r="AG7" i="3"/>
  <c r="AG8" i="3"/>
  <c r="AG10" i="3"/>
  <c r="AE11" i="3"/>
  <c r="AG18" i="3"/>
  <c r="T20" i="3"/>
  <c r="T24" i="3"/>
  <c r="T32" i="3"/>
  <c r="J57" i="3"/>
  <c r="J61" i="3"/>
  <c r="AI13" i="3"/>
  <c r="AG15" i="3"/>
  <c r="AG22" i="3"/>
  <c r="AG25" i="3"/>
  <c r="AC26" i="3"/>
  <c r="Y27" i="3"/>
  <c r="AG33" i="3"/>
  <c r="AC34" i="3"/>
  <c r="AC35" i="3"/>
  <c r="J45" i="3"/>
  <c r="R49" i="3"/>
  <c r="T12" i="3"/>
  <c r="AI17" i="3"/>
  <c r="AG19" i="3"/>
  <c r="T28" i="3"/>
  <c r="T36" i="3"/>
  <c r="P52" i="3"/>
  <c r="P59" i="3"/>
  <c r="U5" i="3"/>
  <c r="AF5" i="3"/>
  <c r="AH6" i="3"/>
  <c r="AD6" i="3"/>
  <c r="Z6" i="3"/>
  <c r="V6" i="3"/>
  <c r="U6" i="3"/>
  <c r="AH9" i="3"/>
  <c r="AD9" i="3"/>
  <c r="Z9" i="3"/>
  <c r="V9" i="3"/>
  <c r="U10" i="3"/>
  <c r="AA10" i="3"/>
  <c r="AF10" i="3"/>
  <c r="AC11" i="3"/>
  <c r="U15" i="3"/>
  <c r="AC15" i="3"/>
  <c r="U9" i="3"/>
  <c r="AA9" i="3"/>
  <c r="AF9" i="3"/>
  <c r="AF23" i="3"/>
  <c r="AB23" i="3"/>
  <c r="X23" i="3"/>
  <c r="AI23" i="3"/>
  <c r="AE23" i="3"/>
  <c r="AA23" i="3"/>
  <c r="W23" i="3"/>
  <c r="AH23" i="3"/>
  <c r="AD23" i="3"/>
  <c r="Z23" i="3"/>
  <c r="V23" i="3"/>
  <c r="U23" i="3"/>
  <c r="AF31" i="3"/>
  <c r="AB31" i="3"/>
  <c r="X31" i="3"/>
  <c r="AI31" i="3"/>
  <c r="AE31" i="3"/>
  <c r="AA31" i="3"/>
  <c r="W31" i="3"/>
  <c r="AH31" i="3"/>
  <c r="AD31" i="3"/>
  <c r="Z31" i="3"/>
  <c r="V31" i="3"/>
  <c r="U31" i="3"/>
  <c r="AH98" i="3"/>
  <c r="R98" i="3"/>
  <c r="AD98" i="3"/>
  <c r="N98" i="3"/>
  <c r="AD97" i="3"/>
  <c r="Y97" i="3"/>
  <c r="AD96" i="3"/>
  <c r="Y96" i="3"/>
  <c r="Z98" i="3"/>
  <c r="V98" i="3"/>
  <c r="F98" i="3"/>
  <c r="X97" i="3"/>
  <c r="X96" i="3"/>
  <c r="Y95" i="3"/>
  <c r="AC94" i="3"/>
  <c r="AD93" i="3"/>
  <c r="AH92" i="3"/>
  <c r="X92" i="3"/>
  <c r="R97" i="3"/>
  <c r="AH95" i="3"/>
  <c r="X95" i="3"/>
  <c r="Y94" i="3"/>
  <c r="AC93" i="3"/>
  <c r="AD92" i="3"/>
  <c r="T92" i="3"/>
  <c r="I92" i="3"/>
  <c r="AF90" i="3"/>
  <c r="Y90" i="3"/>
  <c r="AF88" i="3"/>
  <c r="Y88" i="3"/>
  <c r="AF86" i="3"/>
  <c r="Y86" i="3"/>
  <c r="AF83" i="3"/>
  <c r="Z83" i="3"/>
  <c r="U83" i="3"/>
  <c r="AF82" i="3"/>
  <c r="AB82" i="3"/>
  <c r="X82" i="3"/>
  <c r="AF81" i="3"/>
  <c r="AB81" i="3"/>
  <c r="X81" i="3"/>
  <c r="AF80" i="3"/>
  <c r="AB80" i="3"/>
  <c r="X80" i="3"/>
  <c r="AF79" i="3"/>
  <c r="AB79" i="3"/>
  <c r="X79" i="3"/>
  <c r="AF78" i="3"/>
  <c r="AB78" i="3"/>
  <c r="X78" i="3"/>
  <c r="AF77" i="3"/>
  <c r="AB77" i="3"/>
  <c r="X77" i="3"/>
  <c r="AH97" i="3"/>
  <c r="M97" i="3"/>
  <c r="AH96" i="3"/>
  <c r="R96" i="3"/>
  <c r="H96" i="3"/>
  <c r="AD95" i="3"/>
  <c r="T95" i="3"/>
  <c r="I95" i="3"/>
  <c r="AH94" i="3"/>
  <c r="X94" i="3"/>
  <c r="Y93" i="3"/>
  <c r="AC92" i="3"/>
  <c r="R92" i="3"/>
  <c r="H92" i="3"/>
  <c r="AD90" i="3"/>
  <c r="X90" i="3"/>
  <c r="P90" i="3"/>
  <c r="I90" i="3"/>
  <c r="AD88" i="3"/>
  <c r="X88" i="3"/>
  <c r="P88" i="3"/>
  <c r="I88" i="3"/>
  <c r="AD86" i="3"/>
  <c r="X86" i="3"/>
  <c r="P86" i="3"/>
  <c r="I86" i="3"/>
  <c r="AH85" i="3"/>
  <c r="Z85" i="3"/>
  <c r="AD84" i="3"/>
  <c r="Y84" i="3"/>
  <c r="AD83" i="3"/>
  <c r="Y83" i="3"/>
  <c r="T83" i="3"/>
  <c r="O83" i="3"/>
  <c r="K83" i="3"/>
  <c r="G83" i="3"/>
  <c r="AI82" i="3"/>
  <c r="AE82" i="3"/>
  <c r="AA82" i="3"/>
  <c r="W82" i="3"/>
  <c r="S82" i="3"/>
  <c r="O82" i="3"/>
  <c r="K82" i="3"/>
  <c r="G82" i="3"/>
  <c r="AI81" i="3"/>
  <c r="AE81" i="3"/>
  <c r="AA81" i="3"/>
  <c r="W81" i="3"/>
  <c r="S81" i="3"/>
  <c r="O81" i="3"/>
  <c r="K81" i="3"/>
  <c r="G81" i="3"/>
  <c r="H95" i="3"/>
  <c r="T94" i="3"/>
  <c r="AH93" i="3"/>
  <c r="N90" i="3"/>
  <c r="AF89" i="3"/>
  <c r="N88" i="3"/>
  <c r="AF87" i="3"/>
  <c r="N86" i="3"/>
  <c r="AF85" i="3"/>
  <c r="H85" i="3"/>
  <c r="AC84" i="3"/>
  <c r="H84" i="3"/>
  <c r="AC83" i="3"/>
  <c r="J83" i="3"/>
  <c r="AH82" i="3"/>
  <c r="R82" i="3"/>
  <c r="Z81" i="3"/>
  <c r="J81" i="3"/>
  <c r="AI80" i="3"/>
  <c r="AA80" i="3"/>
  <c r="S80" i="3"/>
  <c r="K80" i="3"/>
  <c r="AE79" i="3"/>
  <c r="W79" i="3"/>
  <c r="O79" i="3"/>
  <c r="G79" i="3"/>
  <c r="AI78" i="3"/>
  <c r="AA78" i="3"/>
  <c r="S78" i="3"/>
  <c r="K78" i="3"/>
  <c r="AE77" i="3"/>
  <c r="W77" i="3"/>
  <c r="AI76" i="3"/>
  <c r="AD76" i="3"/>
  <c r="X76" i="3"/>
  <c r="AE75" i="3"/>
  <c r="Z75" i="3"/>
  <c r="AF74" i="3"/>
  <c r="AA74" i="3"/>
  <c r="V74" i="3"/>
  <c r="P74" i="3"/>
  <c r="K74" i="3"/>
  <c r="F74" i="3"/>
  <c r="AH73" i="3"/>
  <c r="AB73" i="3"/>
  <c r="W73" i="3"/>
  <c r="AI72" i="3"/>
  <c r="AD72" i="3"/>
  <c r="X72" i="3"/>
  <c r="AE71" i="3"/>
  <c r="Z71" i="3"/>
  <c r="AF70" i="3"/>
  <c r="AA70" i="3"/>
  <c r="V70" i="3"/>
  <c r="P70" i="3"/>
  <c r="K70" i="3"/>
  <c r="F70" i="3"/>
  <c r="AH69" i="3"/>
  <c r="AB69" i="3"/>
  <c r="W69" i="3"/>
  <c r="AI68" i="3"/>
  <c r="AD68" i="3"/>
  <c r="X68" i="3"/>
  <c r="I94" i="3"/>
  <c r="X93" i="3"/>
  <c r="Y92" i="3"/>
  <c r="AC91" i="3"/>
  <c r="H90" i="3"/>
  <c r="Y89" i="3"/>
  <c r="H88" i="3"/>
  <c r="Y87" i="3"/>
  <c r="H86" i="3"/>
  <c r="Y85" i="3"/>
  <c r="X84" i="3"/>
  <c r="X83" i="3"/>
  <c r="F83" i="3"/>
  <c r="AD82" i="3"/>
  <c r="N82" i="3"/>
  <c r="V81" i="3"/>
  <c r="F81" i="3"/>
  <c r="AH80" i="3"/>
  <c r="Z80" i="3"/>
  <c r="R80" i="3"/>
  <c r="J80" i="3"/>
  <c r="AD79" i="3"/>
  <c r="V79" i="3"/>
  <c r="N79" i="3"/>
  <c r="F79" i="3"/>
  <c r="AH78" i="3"/>
  <c r="Z78" i="3"/>
  <c r="R78" i="3"/>
  <c r="J78" i="3"/>
  <c r="AD77" i="3"/>
  <c r="V77" i="3"/>
  <c r="AH76" i="3"/>
  <c r="AB76" i="3"/>
  <c r="W76" i="3"/>
  <c r="R76" i="3"/>
  <c r="L76" i="3"/>
  <c r="G76" i="3"/>
  <c r="AI75" i="3"/>
  <c r="AD75" i="3"/>
  <c r="X75" i="3"/>
  <c r="AE74" i="3"/>
  <c r="Z74" i="3"/>
  <c r="T74" i="3"/>
  <c r="O74" i="3"/>
  <c r="J74" i="3"/>
  <c r="AF73" i="3"/>
  <c r="AA73" i="3"/>
  <c r="V73" i="3"/>
  <c r="AH72" i="3"/>
  <c r="AB72" i="3"/>
  <c r="W72" i="3"/>
  <c r="R72" i="3"/>
  <c r="L72" i="3"/>
  <c r="G72" i="3"/>
  <c r="AI71" i="3"/>
  <c r="AD71" i="3"/>
  <c r="X71" i="3"/>
  <c r="AE70" i="3"/>
  <c r="Z70" i="3"/>
  <c r="T70" i="3"/>
  <c r="O70" i="3"/>
  <c r="J70" i="3"/>
  <c r="AF69" i="3"/>
  <c r="AA69" i="3"/>
  <c r="V69" i="3"/>
  <c r="AH68" i="3"/>
  <c r="AB68" i="3"/>
  <c r="W68" i="3"/>
  <c r="R68" i="3"/>
  <c r="L68" i="3"/>
  <c r="G68" i="3"/>
  <c r="AI67" i="3"/>
  <c r="AD67" i="3"/>
  <c r="X67" i="3"/>
  <c r="AF66" i="3"/>
  <c r="AB66" i="3"/>
  <c r="X66" i="3"/>
  <c r="AF65" i="3"/>
  <c r="AB65" i="3"/>
  <c r="X65" i="3"/>
  <c r="AF64" i="3"/>
  <c r="AB64" i="3"/>
  <c r="X64" i="3"/>
  <c r="AF63" i="3"/>
  <c r="AB63" i="3"/>
  <c r="X63" i="3"/>
  <c r="AF62" i="3"/>
  <c r="AB62" i="3"/>
  <c r="X62" i="3"/>
  <c r="AC97" i="3"/>
  <c r="AC96" i="3"/>
  <c r="AC95" i="3"/>
  <c r="N92" i="3"/>
  <c r="AC90" i="3"/>
  <c r="AC88" i="3"/>
  <c r="AC86" i="3"/>
  <c r="R85" i="3"/>
  <c r="R84" i="3"/>
  <c r="R83" i="3"/>
  <c r="Z82" i="3"/>
  <c r="J82" i="3"/>
  <c r="AH81" i="3"/>
  <c r="R81" i="3"/>
  <c r="AE80" i="3"/>
  <c r="W80" i="3"/>
  <c r="O80" i="3"/>
  <c r="G80" i="3"/>
  <c r="AI79" i="3"/>
  <c r="AA79" i="3"/>
  <c r="S79" i="3"/>
  <c r="K79" i="3"/>
  <c r="AE78" i="3"/>
  <c r="W78" i="3"/>
  <c r="O78" i="3"/>
  <c r="G78" i="3"/>
  <c r="AI77" i="3"/>
  <c r="AA77" i="3"/>
  <c r="AF76" i="3"/>
  <c r="AA76" i="3"/>
  <c r="V76" i="3"/>
  <c r="AH75" i="3"/>
  <c r="AB75" i="3"/>
  <c r="W75" i="3"/>
  <c r="AI74" i="3"/>
  <c r="AD74" i="3"/>
  <c r="X74" i="3"/>
  <c r="AE73" i="3"/>
  <c r="Z73" i="3"/>
  <c r="AF72" i="3"/>
  <c r="AA72" i="3"/>
  <c r="V72" i="3"/>
  <c r="AH71" i="3"/>
  <c r="AB71" i="3"/>
  <c r="W71" i="3"/>
  <c r="AI70" i="3"/>
  <c r="AD70" i="3"/>
  <c r="X70" i="3"/>
  <c r="AE69" i="3"/>
  <c r="Z69" i="3"/>
  <c r="AF68" i="3"/>
  <c r="AA68" i="3"/>
  <c r="V68" i="3"/>
  <c r="R95" i="3"/>
  <c r="J89" i="3"/>
  <c r="M85" i="3"/>
  <c r="M84" i="3"/>
  <c r="N83" i="3"/>
  <c r="F82" i="3"/>
  <c r="N81" i="3"/>
  <c r="V80" i="3"/>
  <c r="J79" i="3"/>
  <c r="V78" i="3"/>
  <c r="AE76" i="3"/>
  <c r="J76" i="3"/>
  <c r="AA75" i="3"/>
  <c r="F75" i="3"/>
  <c r="AB74" i="3"/>
  <c r="G74" i="3"/>
  <c r="AD73" i="3"/>
  <c r="Z72" i="3"/>
  <c r="V71" i="3"/>
  <c r="W70" i="3"/>
  <c r="X69" i="3"/>
  <c r="T68" i="3"/>
  <c r="P67" i="3"/>
  <c r="V66" i="3"/>
  <c r="F66" i="3"/>
  <c r="AD65" i="3"/>
  <c r="N65" i="3"/>
  <c r="V64" i="3"/>
  <c r="F64" i="3"/>
  <c r="AD63" i="3"/>
  <c r="N63" i="3"/>
  <c r="V62" i="3"/>
  <c r="AF61" i="3"/>
  <c r="X61" i="3"/>
  <c r="AH60" i="3"/>
  <c r="Z60" i="3"/>
  <c r="AB59" i="3"/>
  <c r="L59" i="3"/>
  <c r="AD58" i="3"/>
  <c r="V58" i="3"/>
  <c r="N58" i="3"/>
  <c r="F58" i="3"/>
  <c r="AF57" i="3"/>
  <c r="X57" i="3"/>
  <c r="AH56" i="3"/>
  <c r="Z56" i="3"/>
  <c r="AB55" i="3"/>
  <c r="T55" i="3"/>
  <c r="L55" i="3"/>
  <c r="AD54" i="3"/>
  <c r="V54" i="3"/>
  <c r="N54" i="3"/>
  <c r="F54" i="3"/>
  <c r="AF53" i="3"/>
  <c r="X53" i="3"/>
  <c r="AH52" i="3"/>
  <c r="Z52" i="3"/>
  <c r="AB51" i="3"/>
  <c r="T51" i="3"/>
  <c r="L51" i="3"/>
  <c r="AD50" i="3"/>
  <c r="V50" i="3"/>
  <c r="N50" i="3"/>
  <c r="F50" i="3"/>
  <c r="AF49" i="3"/>
  <c r="X49" i="3"/>
  <c r="AH48" i="3"/>
  <c r="Z48" i="3"/>
  <c r="AB47" i="3"/>
  <c r="T47" i="3"/>
  <c r="L47" i="3"/>
  <c r="AD46" i="3"/>
  <c r="V46" i="3"/>
  <c r="N46" i="3"/>
  <c r="F46" i="3"/>
  <c r="AF45" i="3"/>
  <c r="X45" i="3"/>
  <c r="R44" i="3"/>
  <c r="L44" i="3"/>
  <c r="F44" i="3"/>
  <c r="Q43" i="3"/>
  <c r="L43" i="3"/>
  <c r="F43" i="3"/>
  <c r="Q42" i="3"/>
  <c r="L42" i="3"/>
  <c r="F42" i="3"/>
  <c r="Q41" i="3"/>
  <c r="L41" i="3"/>
  <c r="F41" i="3"/>
  <c r="Q40" i="3"/>
  <c r="L40" i="3"/>
  <c r="F40" i="3"/>
  <c r="Q39" i="3"/>
  <c r="L39" i="3"/>
  <c r="F39" i="3"/>
  <c r="Q38" i="3"/>
  <c r="L38" i="3"/>
  <c r="F38" i="3"/>
  <c r="Q37" i="3"/>
  <c r="L37" i="3"/>
  <c r="F37" i="3"/>
  <c r="N96" i="3"/>
  <c r="U90" i="3"/>
  <c r="U86" i="3"/>
  <c r="N80" i="3"/>
  <c r="AH79" i="3"/>
  <c r="N78" i="3"/>
  <c r="AH77" i="3"/>
  <c r="Z76" i="3"/>
  <c r="V75" i="3"/>
  <c r="W74" i="3"/>
  <c r="X73" i="3"/>
  <c r="T72" i="3"/>
  <c r="P71" i="3"/>
  <c r="R70" i="3"/>
  <c r="O68" i="3"/>
  <c r="AF67" i="3"/>
  <c r="K67" i="3"/>
  <c r="AH66" i="3"/>
  <c r="R66" i="3"/>
  <c r="Z65" i="3"/>
  <c r="J65" i="3"/>
  <c r="AH64" i="3"/>
  <c r="R64" i="3"/>
  <c r="Z63" i="3"/>
  <c r="J63" i="3"/>
  <c r="AH62" i="3"/>
  <c r="AD61" i="3"/>
  <c r="V61" i="3"/>
  <c r="AF60" i="3"/>
  <c r="X60" i="3"/>
  <c r="AH59" i="3"/>
  <c r="Z59" i="3"/>
  <c r="AB58" i="3"/>
  <c r="AD57" i="3"/>
  <c r="V57" i="3"/>
  <c r="AF56" i="3"/>
  <c r="X56" i="3"/>
  <c r="AH55" i="3"/>
  <c r="Z55" i="3"/>
  <c r="AB54" i="3"/>
  <c r="AD53" i="3"/>
  <c r="V53" i="3"/>
  <c r="AF52" i="3"/>
  <c r="X52" i="3"/>
  <c r="AH51" i="3"/>
  <c r="Z51" i="3"/>
  <c r="AB50" i="3"/>
  <c r="T50" i="3"/>
  <c r="L50" i="3"/>
  <c r="AD49" i="3"/>
  <c r="V49" i="3"/>
  <c r="AF48" i="3"/>
  <c r="X48" i="3"/>
  <c r="AH47" i="3"/>
  <c r="Z47" i="3"/>
  <c r="AB46" i="3"/>
  <c r="T46" i="3"/>
  <c r="L46" i="3"/>
  <c r="AD45" i="3"/>
  <c r="V45" i="3"/>
  <c r="P44" i="3"/>
  <c r="J44" i="3"/>
  <c r="P43" i="3"/>
  <c r="J43" i="3"/>
  <c r="P42" i="3"/>
  <c r="J42" i="3"/>
  <c r="P41" i="3"/>
  <c r="J41" i="3"/>
  <c r="P40" i="3"/>
  <c r="J40" i="3"/>
  <c r="P39" i="3"/>
  <c r="J39" i="3"/>
  <c r="P38" i="3"/>
  <c r="J38" i="3"/>
  <c r="P37" i="3"/>
  <c r="J37" i="3"/>
  <c r="S36" i="3"/>
  <c r="O36" i="3"/>
  <c r="K36" i="3"/>
  <c r="G36" i="3"/>
  <c r="S35" i="3"/>
  <c r="O35" i="3"/>
  <c r="K35" i="3"/>
  <c r="G35" i="3"/>
  <c r="S34" i="3"/>
  <c r="O34" i="3"/>
  <c r="K34" i="3"/>
  <c r="G34" i="3"/>
  <c r="S33" i="3"/>
  <c r="O33" i="3"/>
  <c r="K33" i="3"/>
  <c r="G33" i="3"/>
  <c r="S32" i="3"/>
  <c r="O32" i="3"/>
  <c r="K32" i="3"/>
  <c r="G32" i="3"/>
  <c r="S31" i="3"/>
  <c r="O31" i="3"/>
  <c r="K31" i="3"/>
  <c r="G31" i="3"/>
  <c r="S30" i="3"/>
  <c r="O30" i="3"/>
  <c r="K30" i="3"/>
  <c r="G30" i="3"/>
  <c r="S29" i="3"/>
  <c r="O29" i="3"/>
  <c r="K29" i="3"/>
  <c r="G29" i="3"/>
  <c r="S28" i="3"/>
  <c r="O28" i="3"/>
  <c r="K28" i="3"/>
  <c r="G28" i="3"/>
  <c r="S27" i="3"/>
  <c r="O27" i="3"/>
  <c r="K27" i="3"/>
  <c r="G27" i="3"/>
  <c r="S26" i="3"/>
  <c r="O26" i="3"/>
  <c r="K26" i="3"/>
  <c r="G26" i="3"/>
  <c r="S25" i="3"/>
  <c r="O25" i="3"/>
  <c r="K25" i="3"/>
  <c r="G25" i="3"/>
  <c r="S24" i="3"/>
  <c r="O24" i="3"/>
  <c r="K24" i="3"/>
  <c r="G24" i="3"/>
  <c r="S23" i="3"/>
  <c r="O23" i="3"/>
  <c r="K23" i="3"/>
  <c r="G23" i="3"/>
  <c r="H97" i="3"/>
  <c r="J91" i="3"/>
  <c r="J87" i="3"/>
  <c r="F80" i="3"/>
  <c r="Z79" i="3"/>
  <c r="F78" i="3"/>
  <c r="Z77" i="3"/>
  <c r="T76" i="3"/>
  <c r="P75" i="3"/>
  <c r="R74" i="3"/>
  <c r="O72" i="3"/>
  <c r="AF71" i="3"/>
  <c r="K71" i="3"/>
  <c r="AH70" i="3"/>
  <c r="L70" i="3"/>
  <c r="AI69" i="3"/>
  <c r="N69" i="3"/>
  <c r="AE68" i="3"/>
  <c r="J68" i="3"/>
  <c r="AA67" i="3"/>
  <c r="F67" i="3"/>
  <c r="AD66" i="3"/>
  <c r="N66" i="3"/>
  <c r="V65" i="3"/>
  <c r="F65" i="3"/>
  <c r="AD64" i="3"/>
  <c r="N64" i="3"/>
  <c r="V63" i="3"/>
  <c r="F63" i="3"/>
  <c r="AD62" i="3"/>
  <c r="AB61" i="3"/>
  <c r="AD60" i="3"/>
  <c r="V60" i="3"/>
  <c r="AF59" i="3"/>
  <c r="X59" i="3"/>
  <c r="AH58" i="3"/>
  <c r="Z58" i="3"/>
  <c r="AB57" i="3"/>
  <c r="AD56" i="3"/>
  <c r="V56" i="3"/>
  <c r="AF55" i="3"/>
  <c r="X55" i="3"/>
  <c r="AH54" i="3"/>
  <c r="Z54" i="3"/>
  <c r="AB53" i="3"/>
  <c r="AD52" i="3"/>
  <c r="V52" i="3"/>
  <c r="AF51" i="3"/>
  <c r="X51" i="3"/>
  <c r="AH50" i="3"/>
  <c r="Z50" i="3"/>
  <c r="AB49" i="3"/>
  <c r="AD48" i="3"/>
  <c r="V48" i="3"/>
  <c r="AF47" i="3"/>
  <c r="X47" i="3"/>
  <c r="AH46" i="3"/>
  <c r="Z46" i="3"/>
  <c r="AB45" i="3"/>
  <c r="G5" i="3"/>
  <c r="L5" i="3"/>
  <c r="W5" i="3"/>
  <c r="AB5" i="3"/>
  <c r="AG5" i="3"/>
  <c r="G6" i="3"/>
  <c r="L6" i="3"/>
  <c r="W6" i="3"/>
  <c r="AB6" i="3"/>
  <c r="AG6" i="3"/>
  <c r="G7" i="3"/>
  <c r="L7" i="3"/>
  <c r="W7" i="3"/>
  <c r="AB7" i="3"/>
  <c r="G8" i="3"/>
  <c r="L8" i="3"/>
  <c r="W8" i="3"/>
  <c r="AB8" i="3"/>
  <c r="G9" i="3"/>
  <c r="L9" i="3"/>
  <c r="W9" i="3"/>
  <c r="AB9" i="3"/>
  <c r="AG9" i="3"/>
  <c r="G10" i="3"/>
  <c r="L10" i="3"/>
  <c r="W10" i="3"/>
  <c r="AB10" i="3"/>
  <c r="G11" i="3"/>
  <c r="W11" i="3"/>
  <c r="AF12" i="3"/>
  <c r="AB12" i="3"/>
  <c r="X12" i="3"/>
  <c r="AH12" i="3"/>
  <c r="AD12" i="3"/>
  <c r="Z12" i="3"/>
  <c r="V12" i="3"/>
  <c r="M12" i="3"/>
  <c r="U12" i="3"/>
  <c r="AC12" i="3"/>
  <c r="T13" i="3"/>
  <c r="K13" i="3"/>
  <c r="S13" i="3"/>
  <c r="AA13" i="3"/>
  <c r="I14" i="3"/>
  <c r="Q14" i="3"/>
  <c r="Y14" i="3"/>
  <c r="G15" i="3"/>
  <c r="O15" i="3"/>
  <c r="W15" i="3"/>
  <c r="AE15" i="3"/>
  <c r="AF16" i="3"/>
  <c r="AB16" i="3"/>
  <c r="X16" i="3"/>
  <c r="AH16" i="3"/>
  <c r="AD16" i="3"/>
  <c r="Z16" i="3"/>
  <c r="V16" i="3"/>
  <c r="M16" i="3"/>
  <c r="U16" i="3"/>
  <c r="AC16" i="3"/>
  <c r="T17" i="3"/>
  <c r="K17" i="3"/>
  <c r="S17" i="3"/>
  <c r="AA17" i="3"/>
  <c r="I18" i="3"/>
  <c r="Q18" i="3"/>
  <c r="Y18" i="3"/>
  <c r="G19" i="3"/>
  <c r="O19" i="3"/>
  <c r="W19" i="3"/>
  <c r="AE19" i="3"/>
  <c r="AF20" i="3"/>
  <c r="AB20" i="3"/>
  <c r="X20" i="3"/>
  <c r="AH20" i="3"/>
  <c r="AD20" i="3"/>
  <c r="Z20" i="3"/>
  <c r="V20" i="3"/>
  <c r="M20" i="3"/>
  <c r="U20" i="3"/>
  <c r="AC20" i="3"/>
  <c r="T21" i="3"/>
  <c r="K21" i="3"/>
  <c r="S21" i="3"/>
  <c r="AA21" i="3"/>
  <c r="I22" i="3"/>
  <c r="Q22" i="3"/>
  <c r="Y22" i="3"/>
  <c r="I23" i="3"/>
  <c r="Y23" i="3"/>
  <c r="AF24" i="3"/>
  <c r="AB24" i="3"/>
  <c r="X24" i="3"/>
  <c r="AI24" i="3"/>
  <c r="AE24" i="3"/>
  <c r="AA24" i="3"/>
  <c r="W24" i="3"/>
  <c r="AH24" i="3"/>
  <c r="AD24" i="3"/>
  <c r="Z24" i="3"/>
  <c r="V24" i="3"/>
  <c r="U24" i="3"/>
  <c r="T25" i="3"/>
  <c r="Q25" i="3"/>
  <c r="M26" i="3"/>
  <c r="I27" i="3"/>
  <c r="AF28" i="3"/>
  <c r="AB28" i="3"/>
  <c r="X28" i="3"/>
  <c r="AI28" i="3"/>
  <c r="AE28" i="3"/>
  <c r="AA28" i="3"/>
  <c r="W28" i="3"/>
  <c r="AH28" i="3"/>
  <c r="AD28" i="3"/>
  <c r="Z28" i="3"/>
  <c r="V28" i="3"/>
  <c r="U28" i="3"/>
  <c r="T29" i="3"/>
  <c r="Q29" i="3"/>
  <c r="M30" i="3"/>
  <c r="I31" i="3"/>
  <c r="Y31" i="3"/>
  <c r="AF32" i="3"/>
  <c r="AB32" i="3"/>
  <c r="X32" i="3"/>
  <c r="AI32" i="3"/>
  <c r="AE32" i="3"/>
  <c r="AA32" i="3"/>
  <c r="W32" i="3"/>
  <c r="AH32" i="3"/>
  <c r="AD32" i="3"/>
  <c r="Z32" i="3"/>
  <c r="V32" i="3"/>
  <c r="U32" i="3"/>
  <c r="T33" i="3"/>
  <c r="Q33" i="3"/>
  <c r="M34" i="3"/>
  <c r="I35" i="3"/>
  <c r="Y35" i="3"/>
  <c r="AI36" i="3"/>
  <c r="AE36" i="3"/>
  <c r="AG36" i="3"/>
  <c r="AB36" i="3"/>
  <c r="X36" i="3"/>
  <c r="AF36" i="3"/>
  <c r="AA36" i="3"/>
  <c r="W36" i="3"/>
  <c r="AD36" i="3"/>
  <c r="Z36" i="3"/>
  <c r="V36" i="3"/>
  <c r="U36" i="3"/>
  <c r="R37" i="3"/>
  <c r="R38" i="3"/>
  <c r="R39" i="3"/>
  <c r="R40" i="3"/>
  <c r="R41" i="3"/>
  <c r="R42" i="3"/>
  <c r="R43" i="3"/>
  <c r="T44" i="3"/>
  <c r="X46" i="3"/>
  <c r="F47" i="3"/>
  <c r="P48" i="3"/>
  <c r="AB48" i="3"/>
  <c r="AF50" i="3"/>
  <c r="N51" i="3"/>
  <c r="AG52" i="3"/>
  <c r="Q53" i="3"/>
  <c r="M53" i="3"/>
  <c r="I53" i="3"/>
  <c r="S53" i="3"/>
  <c r="O53" i="3"/>
  <c r="K53" i="3"/>
  <c r="G53" i="3"/>
  <c r="P53" i="3"/>
  <c r="H53" i="3"/>
  <c r="N53" i="3"/>
  <c r="F53" i="3"/>
  <c r="T53" i="3"/>
  <c r="L53" i="3"/>
  <c r="Z53" i="3"/>
  <c r="H54" i="3"/>
  <c r="P55" i="3"/>
  <c r="V55" i="3"/>
  <c r="L56" i="3"/>
  <c r="AH57" i="3"/>
  <c r="P58" i="3"/>
  <c r="AD59" i="3"/>
  <c r="T60" i="3"/>
  <c r="AG68" i="3"/>
  <c r="H69" i="3"/>
  <c r="G70" i="3"/>
  <c r="F71" i="3"/>
  <c r="J72" i="3"/>
  <c r="N73" i="3"/>
  <c r="L74" i="3"/>
  <c r="K75" i="3"/>
  <c r="O76" i="3"/>
  <c r="AD80" i="3"/>
  <c r="AH84" i="3"/>
  <c r="AA6" i="3"/>
  <c r="AH7" i="3"/>
  <c r="AD7" i="3"/>
  <c r="Z7" i="3"/>
  <c r="V7" i="3"/>
  <c r="U7" i="3"/>
  <c r="AH8" i="3"/>
  <c r="AD8" i="3"/>
  <c r="Z8" i="3"/>
  <c r="V8" i="3"/>
  <c r="AH10" i="3"/>
  <c r="AD10" i="3"/>
  <c r="Z10" i="3"/>
  <c r="V10" i="3"/>
  <c r="AF11" i="3"/>
  <c r="AB11" i="3"/>
  <c r="X11" i="3"/>
  <c r="AH11" i="3"/>
  <c r="AD11" i="3"/>
  <c r="Z11" i="3"/>
  <c r="V11" i="3"/>
  <c r="U11" i="3"/>
  <c r="AF27" i="3"/>
  <c r="AB27" i="3"/>
  <c r="X27" i="3"/>
  <c r="AI27" i="3"/>
  <c r="AE27" i="3"/>
  <c r="AA27" i="3"/>
  <c r="W27" i="3"/>
  <c r="AH27" i="3"/>
  <c r="AD27" i="3"/>
  <c r="Z27" i="3"/>
  <c r="V27" i="3"/>
  <c r="U27" i="3"/>
  <c r="H5" i="3"/>
  <c r="M5" i="3"/>
  <c r="S5" i="3"/>
  <c r="X5" i="3"/>
  <c r="AC5" i="3"/>
  <c r="H6" i="3"/>
  <c r="M6" i="3"/>
  <c r="S6" i="3"/>
  <c r="X6" i="3"/>
  <c r="AC6" i="3"/>
  <c r="AI6" i="3"/>
  <c r="H7" i="3"/>
  <c r="M7" i="3"/>
  <c r="S7" i="3"/>
  <c r="X7" i="3"/>
  <c r="AC7" i="3"/>
  <c r="AI7" i="3"/>
  <c r="H8" i="3"/>
  <c r="M8" i="3"/>
  <c r="S8" i="3"/>
  <c r="X8" i="3"/>
  <c r="AC8" i="3"/>
  <c r="AI8" i="3"/>
  <c r="H9" i="3"/>
  <c r="M9" i="3"/>
  <c r="S9" i="3"/>
  <c r="X9" i="3"/>
  <c r="AC9" i="3"/>
  <c r="AI9" i="3"/>
  <c r="H10" i="3"/>
  <c r="M10" i="3"/>
  <c r="S10" i="3"/>
  <c r="X10" i="3"/>
  <c r="AC10" i="3"/>
  <c r="AI10" i="3"/>
  <c r="I11" i="3"/>
  <c r="Q11" i="3"/>
  <c r="Y11" i="3"/>
  <c r="AG11" i="3"/>
  <c r="G12" i="3"/>
  <c r="O12" i="3"/>
  <c r="W12" i="3"/>
  <c r="AE12" i="3"/>
  <c r="AF13" i="3"/>
  <c r="AB13" i="3"/>
  <c r="X13" i="3"/>
  <c r="AH13" i="3"/>
  <c r="AD13" i="3"/>
  <c r="Z13" i="3"/>
  <c r="V13" i="3"/>
  <c r="M13" i="3"/>
  <c r="U13" i="3"/>
  <c r="AC13" i="3"/>
  <c r="T14" i="3"/>
  <c r="K14" i="3"/>
  <c r="S14" i="3"/>
  <c r="AA14" i="3"/>
  <c r="AI14" i="3"/>
  <c r="I15" i="3"/>
  <c r="Q15" i="3"/>
  <c r="Y15" i="3"/>
  <c r="G16" i="3"/>
  <c r="O16" i="3"/>
  <c r="W16" i="3"/>
  <c r="AE16" i="3"/>
  <c r="AF17" i="3"/>
  <c r="AB17" i="3"/>
  <c r="X17" i="3"/>
  <c r="AH17" i="3"/>
  <c r="AD17" i="3"/>
  <c r="Z17" i="3"/>
  <c r="V17" i="3"/>
  <c r="M17" i="3"/>
  <c r="U17" i="3"/>
  <c r="AC17" i="3"/>
  <c r="T18" i="3"/>
  <c r="K18" i="3"/>
  <c r="S18" i="3"/>
  <c r="AA18" i="3"/>
  <c r="AI18" i="3"/>
  <c r="I19" i="3"/>
  <c r="Q19" i="3"/>
  <c r="Y19" i="3"/>
  <c r="G20" i="3"/>
  <c r="O20" i="3"/>
  <c r="W20" i="3"/>
  <c r="AE20" i="3"/>
  <c r="AF21" i="3"/>
  <c r="AB21" i="3"/>
  <c r="X21" i="3"/>
  <c r="AH21" i="3"/>
  <c r="AD21" i="3"/>
  <c r="Z21" i="3"/>
  <c r="V21" i="3"/>
  <c r="M21" i="3"/>
  <c r="U21" i="3"/>
  <c r="AC21" i="3"/>
  <c r="T22" i="3"/>
  <c r="K22" i="3"/>
  <c r="S22" i="3"/>
  <c r="AA22" i="3"/>
  <c r="AI22" i="3"/>
  <c r="M23" i="3"/>
  <c r="AC23" i="3"/>
  <c r="I24" i="3"/>
  <c r="Y24" i="3"/>
  <c r="AF25" i="3"/>
  <c r="AB25" i="3"/>
  <c r="X25" i="3"/>
  <c r="AI25" i="3"/>
  <c r="AE25" i="3"/>
  <c r="AA25" i="3"/>
  <c r="W25" i="3"/>
  <c r="AH25" i="3"/>
  <c r="AD25" i="3"/>
  <c r="Z25" i="3"/>
  <c r="V25" i="3"/>
  <c r="U25" i="3"/>
  <c r="T26" i="3"/>
  <c r="Q26" i="3"/>
  <c r="AG26" i="3"/>
  <c r="M27" i="3"/>
  <c r="AC27" i="3"/>
  <c r="I28" i="3"/>
  <c r="Y28" i="3"/>
  <c r="AF29" i="3"/>
  <c r="AB29" i="3"/>
  <c r="X29" i="3"/>
  <c r="AI29" i="3"/>
  <c r="AE29" i="3"/>
  <c r="AA29" i="3"/>
  <c r="W29" i="3"/>
  <c r="AH29" i="3"/>
  <c r="AD29" i="3"/>
  <c r="Z29" i="3"/>
  <c r="V29" i="3"/>
  <c r="U29" i="3"/>
  <c r="T30" i="3"/>
  <c r="Q30" i="3"/>
  <c r="AG30" i="3"/>
  <c r="M31" i="3"/>
  <c r="AC31" i="3"/>
  <c r="I32" i="3"/>
  <c r="O32" i="4" s="1"/>
  <c r="Y32" i="3"/>
  <c r="AF33" i="3"/>
  <c r="AB33" i="3"/>
  <c r="X33" i="3"/>
  <c r="AI33" i="3"/>
  <c r="AE33" i="3"/>
  <c r="AA33" i="3"/>
  <c r="W33" i="3"/>
  <c r="AH33" i="3"/>
  <c r="AD33" i="3"/>
  <c r="Z33" i="3"/>
  <c r="V33" i="3"/>
  <c r="U33" i="3"/>
  <c r="T34" i="3"/>
  <c r="Q34" i="3"/>
  <c r="AG34" i="3"/>
  <c r="M35" i="3"/>
  <c r="I36" i="3"/>
  <c r="Y36" i="3"/>
  <c r="AD37" i="3"/>
  <c r="X37" i="3"/>
  <c r="AD38" i="3"/>
  <c r="X38" i="3"/>
  <c r="AD39" i="3"/>
  <c r="X39" i="3"/>
  <c r="AD40" i="3"/>
  <c r="X40" i="3"/>
  <c r="AD41" i="3"/>
  <c r="X41" i="3"/>
  <c r="AD42" i="3"/>
  <c r="X42" i="3"/>
  <c r="AD43" i="3"/>
  <c r="X43" i="3"/>
  <c r="AD44" i="3"/>
  <c r="AB44" i="3"/>
  <c r="R45" i="3"/>
  <c r="AF46" i="3"/>
  <c r="N47" i="3"/>
  <c r="AG48" i="3"/>
  <c r="Q49" i="3"/>
  <c r="M49" i="3"/>
  <c r="I49" i="3"/>
  <c r="S49" i="3"/>
  <c r="O49" i="3"/>
  <c r="K49" i="3"/>
  <c r="G49" i="3"/>
  <c r="P49" i="3"/>
  <c r="H49" i="3"/>
  <c r="N49" i="3"/>
  <c r="F49" i="3"/>
  <c r="T49" i="3"/>
  <c r="L49" i="3"/>
  <c r="Z49" i="3"/>
  <c r="H50" i="3"/>
  <c r="P51" i="3"/>
  <c r="V51" i="3"/>
  <c r="L52" i="3"/>
  <c r="AH53" i="3"/>
  <c r="P54" i="3"/>
  <c r="AD55" i="3"/>
  <c r="T56" i="3"/>
  <c r="X58" i="3"/>
  <c r="F59" i="3"/>
  <c r="P60" i="3"/>
  <c r="AB60" i="3"/>
  <c r="R61" i="3"/>
  <c r="AG63" i="3"/>
  <c r="AG65" i="3"/>
  <c r="AH67" i="3"/>
  <c r="Z68" i="3"/>
  <c r="AD69" i="3"/>
  <c r="AB70" i="3"/>
  <c r="AA71" i="3"/>
  <c r="AE72" i="3"/>
  <c r="AI73" i="3"/>
  <c r="AH74" i="3"/>
  <c r="AF75" i="3"/>
  <c r="Q77" i="3"/>
  <c r="M77" i="3"/>
  <c r="I77" i="3"/>
  <c r="R77" i="3"/>
  <c r="L77" i="3"/>
  <c r="G77" i="3"/>
  <c r="P77" i="3"/>
  <c r="K77" i="3"/>
  <c r="F77" i="3"/>
  <c r="T77" i="3"/>
  <c r="P77" i="4" s="1"/>
  <c r="O77" i="3"/>
  <c r="J77" i="3"/>
  <c r="N77" i="3"/>
  <c r="H77" i="3"/>
  <c r="R79" i="3"/>
  <c r="AH83" i="3"/>
  <c r="U88" i="3"/>
  <c r="AH5" i="3"/>
  <c r="AD5" i="3"/>
  <c r="Z5" i="3"/>
  <c r="V5" i="3"/>
  <c r="AA5" i="3"/>
  <c r="AF6" i="3"/>
  <c r="AA7" i="3"/>
  <c r="AF7" i="3"/>
  <c r="U8" i="3"/>
  <c r="AA8" i="3"/>
  <c r="AF8" i="3"/>
  <c r="AF15" i="3"/>
  <c r="AB15" i="3"/>
  <c r="X15" i="3"/>
  <c r="AH15" i="3"/>
  <c r="AD15" i="3"/>
  <c r="Z15" i="3"/>
  <c r="V15" i="3"/>
  <c r="AF19" i="3"/>
  <c r="AB19" i="3"/>
  <c r="X19" i="3"/>
  <c r="AH19" i="3"/>
  <c r="AD19" i="3"/>
  <c r="Z19" i="3"/>
  <c r="V19" i="3"/>
  <c r="U19" i="3"/>
  <c r="AC19" i="3"/>
  <c r="AF35" i="3"/>
  <c r="AB35" i="3"/>
  <c r="X35" i="3"/>
  <c r="AI35" i="3"/>
  <c r="AE35" i="3"/>
  <c r="AA35" i="3"/>
  <c r="W35" i="3"/>
  <c r="AH35" i="3"/>
  <c r="AD35" i="3"/>
  <c r="Z35" i="3"/>
  <c r="V35" i="3"/>
  <c r="U35" i="3"/>
  <c r="Q57" i="3"/>
  <c r="M57" i="3"/>
  <c r="I57" i="3"/>
  <c r="S57" i="3"/>
  <c r="O57" i="3"/>
  <c r="K57" i="3"/>
  <c r="G57" i="3"/>
  <c r="P57" i="3"/>
  <c r="H57" i="3"/>
  <c r="N57" i="3"/>
  <c r="F57" i="3"/>
  <c r="T57" i="3"/>
  <c r="L57" i="3"/>
  <c r="R5" i="3"/>
  <c r="N5" i="3"/>
  <c r="J5" i="3"/>
  <c r="F5" i="3"/>
  <c r="I5" i="3"/>
  <c r="O5" i="4" s="1"/>
  <c r="O5" i="3"/>
  <c r="T5" i="3"/>
  <c r="Y5" i="3"/>
  <c r="AE5" i="3"/>
  <c r="R6" i="3"/>
  <c r="N6" i="3"/>
  <c r="J6" i="3"/>
  <c r="F6" i="3"/>
  <c r="I6" i="3"/>
  <c r="O6" i="3"/>
  <c r="T6" i="3"/>
  <c r="Y6" i="3"/>
  <c r="AE6" i="3"/>
  <c r="R7" i="3"/>
  <c r="N7" i="3"/>
  <c r="J7" i="3"/>
  <c r="F7" i="3"/>
  <c r="I7" i="3"/>
  <c r="O7" i="3"/>
  <c r="T7" i="3"/>
  <c r="Y7" i="3"/>
  <c r="AE7" i="3"/>
  <c r="R8" i="3"/>
  <c r="N8" i="3"/>
  <c r="J8" i="3"/>
  <c r="F8" i="3"/>
  <c r="I8" i="3"/>
  <c r="O8" i="3"/>
  <c r="T8" i="3"/>
  <c r="Y8" i="3"/>
  <c r="AE8" i="3"/>
  <c r="R9" i="3"/>
  <c r="N9" i="3"/>
  <c r="J9" i="3"/>
  <c r="F9" i="3"/>
  <c r="I9" i="3"/>
  <c r="O9" i="3"/>
  <c r="T9" i="3"/>
  <c r="Y9" i="3"/>
  <c r="AE9" i="3"/>
  <c r="R10" i="3"/>
  <c r="N10" i="3"/>
  <c r="J10" i="3"/>
  <c r="F10" i="3"/>
  <c r="I10" i="3"/>
  <c r="O10" i="4" s="1"/>
  <c r="O10" i="3"/>
  <c r="T10" i="3"/>
  <c r="Y10" i="3"/>
  <c r="AE10" i="3"/>
  <c r="T11" i="3"/>
  <c r="P11" i="3"/>
  <c r="L11" i="3"/>
  <c r="H11" i="3"/>
  <c r="R11" i="3"/>
  <c r="N11" i="3"/>
  <c r="J11" i="3"/>
  <c r="F11" i="3"/>
  <c r="K11" i="3"/>
  <c r="S11" i="3"/>
  <c r="AA11" i="3"/>
  <c r="AI11" i="3"/>
  <c r="I12" i="3"/>
  <c r="Q12" i="3"/>
  <c r="Y12" i="3"/>
  <c r="AG12" i="3"/>
  <c r="G13" i="3"/>
  <c r="O13" i="3"/>
  <c r="W13" i="3"/>
  <c r="AE13" i="3"/>
  <c r="AF14" i="3"/>
  <c r="AB14" i="3"/>
  <c r="X14" i="3"/>
  <c r="AH14" i="3"/>
  <c r="AD14" i="3"/>
  <c r="Z14" i="3"/>
  <c r="V14" i="3"/>
  <c r="M14" i="3"/>
  <c r="U14" i="3"/>
  <c r="AC14" i="3"/>
  <c r="T15" i="3"/>
  <c r="K15" i="3"/>
  <c r="S15" i="3"/>
  <c r="AA15" i="3"/>
  <c r="AI15" i="3"/>
  <c r="I16" i="3"/>
  <c r="Q16" i="3"/>
  <c r="Y16" i="3"/>
  <c r="AG16" i="3"/>
  <c r="G17" i="3"/>
  <c r="O17" i="3"/>
  <c r="W17" i="3"/>
  <c r="AE17" i="3"/>
  <c r="AF18" i="3"/>
  <c r="AB18" i="3"/>
  <c r="X18" i="3"/>
  <c r="AH18" i="3"/>
  <c r="AD18" i="3"/>
  <c r="Z18" i="3"/>
  <c r="V18" i="3"/>
  <c r="M18" i="3"/>
  <c r="U18" i="3"/>
  <c r="AC18" i="3"/>
  <c r="T19" i="3"/>
  <c r="K19" i="3"/>
  <c r="S19" i="3"/>
  <c r="AA19" i="3"/>
  <c r="AI19" i="3"/>
  <c r="I20" i="3"/>
  <c r="Q20" i="3"/>
  <c r="Y20" i="3"/>
  <c r="AG20" i="3"/>
  <c r="G21" i="3"/>
  <c r="O21" i="3"/>
  <c r="W21" i="3"/>
  <c r="AE21" i="3"/>
  <c r="AF22" i="3"/>
  <c r="AB22" i="3"/>
  <c r="X22" i="3"/>
  <c r="AH22" i="3"/>
  <c r="AD22" i="3"/>
  <c r="Z22" i="3"/>
  <c r="V22" i="3"/>
  <c r="M22" i="3"/>
  <c r="U22" i="3"/>
  <c r="AC22" i="3"/>
  <c r="T23" i="3"/>
  <c r="Q23" i="3"/>
  <c r="AG23" i="3"/>
  <c r="M24" i="3"/>
  <c r="AC24" i="3"/>
  <c r="I25" i="3"/>
  <c r="Y25" i="3"/>
  <c r="AF26" i="3"/>
  <c r="AB26" i="3"/>
  <c r="X26" i="3"/>
  <c r="AI26" i="3"/>
  <c r="AE26" i="3"/>
  <c r="AA26" i="3"/>
  <c r="W26" i="3"/>
  <c r="AH26" i="3"/>
  <c r="AD26" i="3"/>
  <c r="Z26" i="3"/>
  <c r="V26" i="3"/>
  <c r="U26" i="3"/>
  <c r="T27" i="3"/>
  <c r="Q27" i="3"/>
  <c r="AG27" i="3"/>
  <c r="M28" i="3"/>
  <c r="AC28" i="3"/>
  <c r="I29" i="3"/>
  <c r="Y29" i="3"/>
  <c r="AF30" i="3"/>
  <c r="AB30" i="3"/>
  <c r="X30" i="3"/>
  <c r="AI30" i="3"/>
  <c r="AE30" i="3"/>
  <c r="AA30" i="3"/>
  <c r="W30" i="3"/>
  <c r="AH30" i="3"/>
  <c r="AD30" i="3"/>
  <c r="Z30" i="3"/>
  <c r="V30" i="3"/>
  <c r="U30" i="3"/>
  <c r="T31" i="3"/>
  <c r="Q31" i="3"/>
  <c r="AG31" i="3"/>
  <c r="M32" i="3"/>
  <c r="AC32" i="3"/>
  <c r="I33" i="3"/>
  <c r="Y33" i="3"/>
  <c r="AF34" i="3"/>
  <c r="AB34" i="3"/>
  <c r="X34" i="3"/>
  <c r="AI34" i="3"/>
  <c r="AE34" i="3"/>
  <c r="AA34" i="3"/>
  <c r="W34" i="3"/>
  <c r="AH34" i="3"/>
  <c r="AD34" i="3"/>
  <c r="Z34" i="3"/>
  <c r="V34" i="3"/>
  <c r="U34" i="3"/>
  <c r="T35" i="3"/>
  <c r="Q35" i="3"/>
  <c r="AG35" i="3"/>
  <c r="M36" i="3"/>
  <c r="AC36" i="3"/>
  <c r="H37" i="3"/>
  <c r="AC37" i="3"/>
  <c r="H38" i="3"/>
  <c r="AC38" i="3"/>
  <c r="H39" i="3"/>
  <c r="AC39" i="3"/>
  <c r="H40" i="3"/>
  <c r="AC40" i="3"/>
  <c r="H41" i="3"/>
  <c r="AC41" i="3"/>
  <c r="H42" i="3"/>
  <c r="AC42" i="3"/>
  <c r="H43" i="3"/>
  <c r="AC43" i="3"/>
  <c r="H44" i="3"/>
  <c r="Q45" i="3"/>
  <c r="M45" i="3"/>
  <c r="I45" i="3"/>
  <c r="S45" i="3"/>
  <c r="O45" i="3"/>
  <c r="K45" i="3"/>
  <c r="G45" i="3"/>
  <c r="P45" i="3"/>
  <c r="H45" i="3"/>
  <c r="N45" i="3"/>
  <c r="F45" i="3"/>
  <c r="T45" i="3"/>
  <c r="L45" i="3"/>
  <c r="Z45" i="3"/>
  <c r="H46" i="3"/>
  <c r="P47" i="3"/>
  <c r="V47" i="3"/>
  <c r="L48" i="3"/>
  <c r="AH49" i="3"/>
  <c r="P50" i="3"/>
  <c r="AD51" i="3"/>
  <c r="T52" i="3"/>
  <c r="J53" i="3"/>
  <c r="X54" i="3"/>
  <c r="F55" i="3"/>
  <c r="P56" i="3"/>
  <c r="AB56" i="3"/>
  <c r="R57" i="3"/>
  <c r="AF58" i="3"/>
  <c r="N59" i="3"/>
  <c r="AG60" i="3"/>
  <c r="Q61" i="3"/>
  <c r="M61" i="3"/>
  <c r="I61" i="3"/>
  <c r="S61" i="3"/>
  <c r="O61" i="3"/>
  <c r="K61" i="3"/>
  <c r="G61" i="3"/>
  <c r="P61" i="3"/>
  <c r="H61" i="3"/>
  <c r="N61" i="3"/>
  <c r="F61" i="3"/>
  <c r="T61" i="3"/>
  <c r="L61" i="3"/>
  <c r="Z61" i="3"/>
  <c r="J62" i="3"/>
  <c r="R63" i="3"/>
  <c r="J64" i="3"/>
  <c r="R65" i="3"/>
  <c r="J66" i="3"/>
  <c r="V67" i="3"/>
  <c r="AD78" i="3"/>
  <c r="V82" i="3"/>
  <c r="M93" i="3"/>
  <c r="AD94" i="3"/>
  <c r="F12" i="3"/>
  <c r="J12" i="3"/>
  <c r="N12" i="3"/>
  <c r="R12" i="3"/>
  <c r="F13" i="3"/>
  <c r="J13" i="3"/>
  <c r="N13" i="3"/>
  <c r="R13" i="3"/>
  <c r="F14" i="3"/>
  <c r="J14" i="3"/>
  <c r="N14" i="3"/>
  <c r="R14" i="3"/>
  <c r="F15" i="3"/>
  <c r="J15" i="3"/>
  <c r="N15" i="3"/>
  <c r="R15" i="3"/>
  <c r="F16" i="3"/>
  <c r="J16" i="3"/>
  <c r="N16" i="3"/>
  <c r="R16" i="3"/>
  <c r="F17" i="3"/>
  <c r="J17" i="3"/>
  <c r="N17" i="3"/>
  <c r="R17" i="3"/>
  <c r="F18" i="3"/>
  <c r="J18" i="3"/>
  <c r="N18" i="3"/>
  <c r="R18" i="3"/>
  <c r="F19" i="3"/>
  <c r="J19" i="3"/>
  <c r="N19" i="3"/>
  <c r="R19" i="3"/>
  <c r="F20" i="3"/>
  <c r="J20" i="3"/>
  <c r="N20" i="3"/>
  <c r="R20" i="3"/>
  <c r="F21" i="3"/>
  <c r="J21" i="3"/>
  <c r="N21" i="3"/>
  <c r="R21" i="3"/>
  <c r="F22" i="3"/>
  <c r="J22" i="3"/>
  <c r="N22" i="3"/>
  <c r="R22" i="3"/>
  <c r="F23" i="3"/>
  <c r="J23" i="3"/>
  <c r="N23" i="3"/>
  <c r="R23" i="3"/>
  <c r="F24" i="3"/>
  <c r="J24" i="3"/>
  <c r="N24" i="3"/>
  <c r="R24" i="3"/>
  <c r="F25" i="3"/>
  <c r="J25" i="3"/>
  <c r="N25" i="3"/>
  <c r="R25" i="3"/>
  <c r="F26" i="3"/>
  <c r="J26" i="3"/>
  <c r="N26" i="3"/>
  <c r="R26" i="3"/>
  <c r="F27" i="3"/>
  <c r="J27" i="3"/>
  <c r="N27" i="3"/>
  <c r="R27" i="3"/>
  <c r="F28" i="3"/>
  <c r="J28" i="3"/>
  <c r="N28" i="3"/>
  <c r="R28" i="3"/>
  <c r="F29" i="3"/>
  <c r="J29" i="3"/>
  <c r="N29" i="3"/>
  <c r="R29" i="3"/>
  <c r="F30" i="3"/>
  <c r="J30" i="3"/>
  <c r="N30" i="3"/>
  <c r="R30" i="3"/>
  <c r="F31" i="3"/>
  <c r="J31" i="3"/>
  <c r="N31" i="3"/>
  <c r="R31" i="3"/>
  <c r="F32" i="3"/>
  <c r="J32" i="3"/>
  <c r="N32" i="3"/>
  <c r="R32" i="3"/>
  <c r="F33" i="3"/>
  <c r="J33" i="3"/>
  <c r="N33" i="3"/>
  <c r="R33" i="3"/>
  <c r="F34" i="3"/>
  <c r="J34" i="3"/>
  <c r="N34" i="3"/>
  <c r="R34" i="3"/>
  <c r="F35" i="3"/>
  <c r="J35" i="3"/>
  <c r="N35" i="3"/>
  <c r="R35" i="3"/>
  <c r="F36" i="3"/>
  <c r="J36" i="3"/>
  <c r="N36" i="3"/>
  <c r="R36" i="3"/>
  <c r="S37" i="3"/>
  <c r="O37" i="3"/>
  <c r="K37" i="3"/>
  <c r="G37" i="3"/>
  <c r="I37" i="3"/>
  <c r="N37" i="3"/>
  <c r="T37" i="3"/>
  <c r="Y37" i="3"/>
  <c r="S38" i="3"/>
  <c r="O38" i="3"/>
  <c r="K38" i="3"/>
  <c r="G38" i="3"/>
  <c r="I38" i="3"/>
  <c r="N38" i="3"/>
  <c r="T38" i="3"/>
  <c r="Y38" i="3"/>
  <c r="S39" i="3"/>
  <c r="O39" i="3"/>
  <c r="K39" i="3"/>
  <c r="G39" i="3"/>
  <c r="I39" i="3"/>
  <c r="N39" i="3"/>
  <c r="T39" i="3"/>
  <c r="Y39" i="3"/>
  <c r="S40" i="3"/>
  <c r="O40" i="3"/>
  <c r="K40" i="3"/>
  <c r="G40" i="3"/>
  <c r="I40" i="3"/>
  <c r="N40" i="3"/>
  <c r="T40" i="3"/>
  <c r="Y40" i="3"/>
  <c r="S41" i="3"/>
  <c r="O41" i="3"/>
  <c r="K41" i="3"/>
  <c r="G41" i="3"/>
  <c r="I41" i="3"/>
  <c r="N41" i="3"/>
  <c r="T41" i="3"/>
  <c r="Y41" i="3"/>
  <c r="S42" i="3"/>
  <c r="O42" i="3"/>
  <c r="K42" i="3"/>
  <c r="G42" i="3"/>
  <c r="I42" i="3"/>
  <c r="N42" i="3"/>
  <c r="T42" i="3"/>
  <c r="Y42" i="3"/>
  <c r="S43" i="3"/>
  <c r="O43" i="3"/>
  <c r="K43" i="3"/>
  <c r="G43" i="3"/>
  <c r="I43" i="3"/>
  <c r="N43" i="3"/>
  <c r="T43" i="3"/>
  <c r="Y43" i="3"/>
  <c r="Q44" i="3"/>
  <c r="S44" i="3"/>
  <c r="O44" i="3"/>
  <c r="K44" i="3"/>
  <c r="G44" i="3"/>
  <c r="I44" i="3"/>
  <c r="N44" i="3"/>
  <c r="V44" i="3"/>
  <c r="AG45" i="3"/>
  <c r="Q46" i="3"/>
  <c r="M46" i="3"/>
  <c r="I46" i="3"/>
  <c r="S46" i="3"/>
  <c r="O46" i="3"/>
  <c r="K46" i="3"/>
  <c r="G46" i="3"/>
  <c r="J46" i="3"/>
  <c r="R46" i="3"/>
  <c r="H47" i="3"/>
  <c r="F48" i="3"/>
  <c r="N48" i="3"/>
  <c r="AG49" i="3"/>
  <c r="Q50" i="3"/>
  <c r="M50" i="3"/>
  <c r="I50" i="3"/>
  <c r="S50" i="3"/>
  <c r="O50" i="3"/>
  <c r="K50" i="3"/>
  <c r="G50" i="3"/>
  <c r="J50" i="3"/>
  <c r="R50" i="3"/>
  <c r="H51" i="3"/>
  <c r="F52" i="3"/>
  <c r="N52" i="3"/>
  <c r="AG53" i="3"/>
  <c r="Q54" i="3"/>
  <c r="M54" i="3"/>
  <c r="I54" i="3"/>
  <c r="S54" i="3"/>
  <c r="O54" i="3"/>
  <c r="K54" i="3"/>
  <c r="G54" i="3"/>
  <c r="J54" i="3"/>
  <c r="R54" i="3"/>
  <c r="H55" i="3"/>
  <c r="F56" i="3"/>
  <c r="N56" i="3"/>
  <c r="AG57" i="3"/>
  <c r="Q58" i="3"/>
  <c r="M58" i="3"/>
  <c r="I58" i="3"/>
  <c r="S58" i="3"/>
  <c r="O58" i="3"/>
  <c r="K58" i="3"/>
  <c r="G58" i="3"/>
  <c r="J58" i="3"/>
  <c r="R58" i="3"/>
  <c r="H59" i="3"/>
  <c r="F60" i="3"/>
  <c r="N60" i="3"/>
  <c r="AG61" i="3"/>
  <c r="Q62" i="3"/>
  <c r="M62" i="3"/>
  <c r="I62" i="3"/>
  <c r="T62" i="3"/>
  <c r="P62" i="3"/>
  <c r="L62" i="3"/>
  <c r="H62" i="3"/>
  <c r="S62" i="3"/>
  <c r="O62" i="3"/>
  <c r="K62" i="3"/>
  <c r="G62" i="3"/>
  <c r="N62" i="3"/>
  <c r="Q64" i="3"/>
  <c r="Q66" i="3"/>
  <c r="Q73" i="3"/>
  <c r="M73" i="3"/>
  <c r="I73" i="3"/>
  <c r="R73" i="3"/>
  <c r="L73" i="3"/>
  <c r="G73" i="3"/>
  <c r="P73" i="3"/>
  <c r="K73" i="3"/>
  <c r="F73" i="3"/>
  <c r="T73" i="3"/>
  <c r="O73" i="3"/>
  <c r="J73" i="3"/>
  <c r="S73" i="3"/>
  <c r="R75" i="3"/>
  <c r="P76" i="3"/>
  <c r="Q79" i="3"/>
  <c r="Q81" i="3"/>
  <c r="R89" i="3"/>
  <c r="AI37" i="3"/>
  <c r="AE37" i="3"/>
  <c r="AA37" i="3"/>
  <c r="W37" i="3"/>
  <c r="U37" i="3"/>
  <c r="Z37" i="3"/>
  <c r="AF37" i="3"/>
  <c r="AI38" i="3"/>
  <c r="AE38" i="3"/>
  <c r="AA38" i="3"/>
  <c r="W38" i="3"/>
  <c r="U38" i="3"/>
  <c r="Z38" i="3"/>
  <c r="AF38" i="3"/>
  <c r="AI39" i="3"/>
  <c r="AE39" i="3"/>
  <c r="AA39" i="3"/>
  <c r="W39" i="3"/>
  <c r="U39" i="3"/>
  <c r="Z39" i="3"/>
  <c r="AF39" i="3"/>
  <c r="AI40" i="3"/>
  <c r="AE40" i="3"/>
  <c r="AA40" i="3"/>
  <c r="W40" i="3"/>
  <c r="U40" i="3"/>
  <c r="Z40" i="3"/>
  <c r="AF40" i="3"/>
  <c r="AI41" i="3"/>
  <c r="AE41" i="3"/>
  <c r="AA41" i="3"/>
  <c r="W41" i="3"/>
  <c r="U41" i="3"/>
  <c r="Z41" i="3"/>
  <c r="AF41" i="3"/>
  <c r="AI42" i="3"/>
  <c r="AE42" i="3"/>
  <c r="AA42" i="3"/>
  <c r="W42" i="3"/>
  <c r="U42" i="3"/>
  <c r="Z42" i="3"/>
  <c r="AF42" i="3"/>
  <c r="AI43" i="3"/>
  <c r="AE43" i="3"/>
  <c r="AA43" i="3"/>
  <c r="W43" i="3"/>
  <c r="U43" i="3"/>
  <c r="Z43" i="3"/>
  <c r="AF43" i="3"/>
  <c r="AG44" i="3"/>
  <c r="AC44" i="3"/>
  <c r="Y44" i="3"/>
  <c r="U44" i="3"/>
  <c r="AI44" i="3"/>
  <c r="AE44" i="3"/>
  <c r="AA44" i="3"/>
  <c r="W44" i="3"/>
  <c r="X44" i="3"/>
  <c r="AF44" i="3"/>
  <c r="AG46" i="3"/>
  <c r="Q47" i="3"/>
  <c r="M47" i="3"/>
  <c r="I47" i="3"/>
  <c r="S47" i="3"/>
  <c r="O47" i="3"/>
  <c r="K47" i="3"/>
  <c r="G47" i="3"/>
  <c r="J47" i="3"/>
  <c r="R47" i="3"/>
  <c r="H48" i="3"/>
  <c r="AG50" i="3"/>
  <c r="Q51" i="3"/>
  <c r="M51" i="3"/>
  <c r="I51" i="3"/>
  <c r="S51" i="3"/>
  <c r="O51" i="3"/>
  <c r="K51" i="3"/>
  <c r="G51" i="3"/>
  <c r="J51" i="3"/>
  <c r="R51" i="3"/>
  <c r="H52" i="3"/>
  <c r="AG54" i="3"/>
  <c r="L54" i="3"/>
  <c r="T54" i="3"/>
  <c r="Q55" i="3"/>
  <c r="M55" i="3"/>
  <c r="I55" i="3"/>
  <c r="S55" i="3"/>
  <c r="O55" i="3"/>
  <c r="K55" i="3"/>
  <c r="G55" i="3"/>
  <c r="J55" i="3"/>
  <c r="R55" i="3"/>
  <c r="H56" i="3"/>
  <c r="AG58" i="3"/>
  <c r="L58" i="3"/>
  <c r="T58" i="3"/>
  <c r="Q59" i="3"/>
  <c r="M59" i="3"/>
  <c r="I59" i="3"/>
  <c r="S59" i="3"/>
  <c r="O59" i="3"/>
  <c r="K59" i="3"/>
  <c r="G59" i="3"/>
  <c r="J59" i="3"/>
  <c r="R59" i="3"/>
  <c r="H60" i="3"/>
  <c r="AG62" i="3"/>
  <c r="R62" i="3"/>
  <c r="AG64" i="3"/>
  <c r="AG66" i="3"/>
  <c r="Q69" i="3"/>
  <c r="M69" i="3"/>
  <c r="I69" i="3"/>
  <c r="R69" i="3"/>
  <c r="L69" i="3"/>
  <c r="G69" i="3"/>
  <c r="P69" i="3"/>
  <c r="K69" i="3"/>
  <c r="F69" i="3"/>
  <c r="T69" i="3"/>
  <c r="O69" i="3"/>
  <c r="J69" i="3"/>
  <c r="S69" i="3"/>
  <c r="R71" i="3"/>
  <c r="P72" i="3"/>
  <c r="AG76" i="3"/>
  <c r="H12" i="3"/>
  <c r="L12" i="3"/>
  <c r="P12" i="3"/>
  <c r="H13" i="3"/>
  <c r="L13" i="3"/>
  <c r="P13" i="3"/>
  <c r="H14" i="3"/>
  <c r="L14" i="3"/>
  <c r="P14" i="3"/>
  <c r="H15" i="3"/>
  <c r="L15" i="3"/>
  <c r="P15" i="3"/>
  <c r="H16" i="3"/>
  <c r="L16" i="3"/>
  <c r="P16" i="3"/>
  <c r="H17" i="3"/>
  <c r="L17" i="3"/>
  <c r="P17" i="3"/>
  <c r="H18" i="3"/>
  <c r="L18" i="3"/>
  <c r="P18" i="3"/>
  <c r="H19" i="3"/>
  <c r="L19" i="3"/>
  <c r="P19" i="3"/>
  <c r="H20" i="3"/>
  <c r="L20" i="3"/>
  <c r="P20" i="3"/>
  <c r="H21" i="3"/>
  <c r="L21" i="3"/>
  <c r="P21" i="3"/>
  <c r="H22" i="3"/>
  <c r="L22" i="3"/>
  <c r="P22" i="3"/>
  <c r="H23" i="3"/>
  <c r="L23" i="3"/>
  <c r="P23" i="3"/>
  <c r="H24" i="3"/>
  <c r="L24" i="3"/>
  <c r="P24" i="3"/>
  <c r="H25" i="3"/>
  <c r="L25" i="3"/>
  <c r="P25" i="3"/>
  <c r="H26" i="3"/>
  <c r="L26" i="3"/>
  <c r="P26" i="3"/>
  <c r="H27" i="3"/>
  <c r="L27" i="3"/>
  <c r="P27" i="3"/>
  <c r="H28" i="3"/>
  <c r="L28" i="3"/>
  <c r="P28" i="3"/>
  <c r="H29" i="3"/>
  <c r="L29" i="3"/>
  <c r="P29" i="3"/>
  <c r="H30" i="3"/>
  <c r="L30" i="3"/>
  <c r="P30" i="3"/>
  <c r="H31" i="3"/>
  <c r="L31" i="3"/>
  <c r="P31" i="3"/>
  <c r="H32" i="3"/>
  <c r="L32" i="3"/>
  <c r="P32" i="3"/>
  <c r="H33" i="3"/>
  <c r="L33" i="3"/>
  <c r="P33" i="3"/>
  <c r="H34" i="3"/>
  <c r="L34" i="3"/>
  <c r="P34" i="3"/>
  <c r="H35" i="3"/>
  <c r="L35" i="3"/>
  <c r="P35" i="3"/>
  <c r="H36" i="3"/>
  <c r="L36" i="3"/>
  <c r="P36" i="3"/>
  <c r="V37" i="3"/>
  <c r="AB37" i="3"/>
  <c r="AG37" i="3"/>
  <c r="V38" i="3"/>
  <c r="AB38" i="3"/>
  <c r="AG38" i="3"/>
  <c r="V39" i="3"/>
  <c r="AB39" i="3"/>
  <c r="AG39" i="3"/>
  <c r="V40" i="3"/>
  <c r="AB40" i="3"/>
  <c r="AG40" i="3"/>
  <c r="V41" i="3"/>
  <c r="AB41" i="3"/>
  <c r="AG41" i="3"/>
  <c r="V42" i="3"/>
  <c r="AB42" i="3"/>
  <c r="AG42" i="3"/>
  <c r="V43" i="3"/>
  <c r="AB43" i="3"/>
  <c r="AG43" i="3"/>
  <c r="Z44" i="3"/>
  <c r="AH44" i="3"/>
  <c r="AG47" i="3"/>
  <c r="Q48" i="3"/>
  <c r="M48" i="3"/>
  <c r="I48" i="3"/>
  <c r="S48" i="3"/>
  <c r="P48" i="4" s="1"/>
  <c r="O48" i="3"/>
  <c r="K48" i="3"/>
  <c r="G48" i="3"/>
  <c r="J48" i="3"/>
  <c r="R48" i="3"/>
  <c r="AG51" i="3"/>
  <c r="Q52" i="3"/>
  <c r="M52" i="3"/>
  <c r="I52" i="3"/>
  <c r="S52" i="3"/>
  <c r="O52" i="3"/>
  <c r="K52" i="3"/>
  <c r="G52" i="3"/>
  <c r="J52" i="3"/>
  <c r="R52" i="3"/>
  <c r="AG55" i="3"/>
  <c r="Q56" i="3"/>
  <c r="M56" i="3"/>
  <c r="I56" i="3"/>
  <c r="S56" i="3"/>
  <c r="O56" i="3"/>
  <c r="K56" i="3"/>
  <c r="G56" i="3"/>
  <c r="J56" i="3"/>
  <c r="R56" i="3"/>
  <c r="AG59" i="3"/>
  <c r="T59" i="3"/>
  <c r="Q60" i="3"/>
  <c r="M60" i="3"/>
  <c r="I60" i="3"/>
  <c r="S60" i="3"/>
  <c r="O60" i="3"/>
  <c r="K60" i="3"/>
  <c r="G60" i="3"/>
  <c r="J60" i="3"/>
  <c r="R60" i="3"/>
  <c r="F62" i="3"/>
  <c r="Q63" i="3"/>
  <c r="Q65" i="3"/>
  <c r="R67" i="3"/>
  <c r="P68" i="3"/>
  <c r="AG72" i="3"/>
  <c r="H73" i="3"/>
  <c r="R87" i="3"/>
  <c r="R91" i="3"/>
  <c r="AG92" i="3"/>
  <c r="W45" i="3"/>
  <c r="AA45" i="3"/>
  <c r="AE45" i="3"/>
  <c r="AI45" i="3"/>
  <c r="W46" i="3"/>
  <c r="AA46" i="3"/>
  <c r="AE46" i="3"/>
  <c r="AI46" i="3"/>
  <c r="W47" i="3"/>
  <c r="AA47" i="3"/>
  <c r="AE47" i="3"/>
  <c r="AI47" i="3"/>
  <c r="W48" i="3"/>
  <c r="AA48" i="3"/>
  <c r="AE48" i="3"/>
  <c r="AI48" i="3"/>
  <c r="W49" i="3"/>
  <c r="AA49" i="3"/>
  <c r="AE49" i="3"/>
  <c r="AI49" i="3"/>
  <c r="W50" i="3"/>
  <c r="AA50" i="3"/>
  <c r="AE50" i="3"/>
  <c r="AI50" i="3"/>
  <c r="W51" i="3"/>
  <c r="AA51" i="3"/>
  <c r="AE51" i="3"/>
  <c r="AI51" i="3"/>
  <c r="W52" i="3"/>
  <c r="AA52" i="3"/>
  <c r="AE52" i="3"/>
  <c r="AI52" i="3"/>
  <c r="W53" i="3"/>
  <c r="AA53" i="3"/>
  <c r="AE53" i="3"/>
  <c r="AI53" i="3"/>
  <c r="W54" i="3"/>
  <c r="AA54" i="3"/>
  <c r="AE54" i="3"/>
  <c r="AI54" i="3"/>
  <c r="W55" i="3"/>
  <c r="AA55" i="3"/>
  <c r="AE55" i="3"/>
  <c r="AI55" i="3"/>
  <c r="W56" i="3"/>
  <c r="AA56" i="3"/>
  <c r="AE56" i="3"/>
  <c r="AI56" i="3"/>
  <c r="W57" i="3"/>
  <c r="AA57" i="3"/>
  <c r="AE57" i="3"/>
  <c r="AI57" i="3"/>
  <c r="W58" i="3"/>
  <c r="AA58" i="3"/>
  <c r="AE58" i="3"/>
  <c r="AI58" i="3"/>
  <c r="W59" i="3"/>
  <c r="AA59" i="3"/>
  <c r="AE59" i="3"/>
  <c r="AI59" i="3"/>
  <c r="W60" i="3"/>
  <c r="AA60" i="3"/>
  <c r="AE60" i="3"/>
  <c r="AI60" i="3"/>
  <c r="W61" i="3"/>
  <c r="AA61" i="3"/>
  <c r="AE61" i="3"/>
  <c r="AI61" i="3"/>
  <c r="W62" i="3"/>
  <c r="AA62" i="3"/>
  <c r="AE62" i="3"/>
  <c r="AI62" i="3"/>
  <c r="G63" i="3"/>
  <c r="K63" i="3"/>
  <c r="O63" i="3"/>
  <c r="S63" i="3"/>
  <c r="W63" i="3"/>
  <c r="AA63" i="3"/>
  <c r="AE63" i="3"/>
  <c r="AI63" i="3"/>
  <c r="G64" i="3"/>
  <c r="K64" i="3"/>
  <c r="O64" i="3"/>
  <c r="S64" i="3"/>
  <c r="W64" i="3"/>
  <c r="AA64" i="3"/>
  <c r="AE64" i="3"/>
  <c r="AI64" i="3"/>
  <c r="G65" i="3"/>
  <c r="K65" i="3"/>
  <c r="O65" i="3"/>
  <c r="S65" i="3"/>
  <c r="W65" i="3"/>
  <c r="AA65" i="3"/>
  <c r="AE65" i="3"/>
  <c r="AI65" i="3"/>
  <c r="G66" i="3"/>
  <c r="K66" i="3"/>
  <c r="O66" i="3"/>
  <c r="S66" i="3"/>
  <c r="W66" i="3"/>
  <c r="AA66" i="3"/>
  <c r="AE66" i="3"/>
  <c r="AI66" i="3"/>
  <c r="G67" i="3"/>
  <c r="L67" i="3"/>
  <c r="W67" i="3"/>
  <c r="AB67" i="3"/>
  <c r="F68" i="3"/>
  <c r="K68" i="3"/>
  <c r="AG69" i="3"/>
  <c r="Q70" i="3"/>
  <c r="M70" i="3"/>
  <c r="I70" i="3"/>
  <c r="H70" i="3"/>
  <c r="N70" i="3"/>
  <c r="S70" i="3"/>
  <c r="G71" i="3"/>
  <c r="L71" i="3"/>
  <c r="F72" i="3"/>
  <c r="K72" i="3"/>
  <c r="AG73" i="3"/>
  <c r="Q74" i="3"/>
  <c r="M74" i="3"/>
  <c r="I74" i="3"/>
  <c r="H74" i="3"/>
  <c r="N74" i="3"/>
  <c r="S74" i="3"/>
  <c r="G75" i="3"/>
  <c r="L75" i="3"/>
  <c r="F76" i="3"/>
  <c r="K76" i="3"/>
  <c r="AG77" i="3"/>
  <c r="AG79" i="3"/>
  <c r="AG81" i="3"/>
  <c r="H63" i="3"/>
  <c r="L63" i="3"/>
  <c r="P63" i="3"/>
  <c r="T63" i="3"/>
  <c r="H64" i="3"/>
  <c r="L64" i="3"/>
  <c r="P64" i="3"/>
  <c r="T64" i="3"/>
  <c r="H65" i="3"/>
  <c r="L65" i="3"/>
  <c r="P65" i="3"/>
  <c r="T65" i="3"/>
  <c r="H66" i="3"/>
  <c r="L66" i="3"/>
  <c r="P66" i="3"/>
  <c r="T66" i="3"/>
  <c r="Q67" i="3"/>
  <c r="M67" i="3"/>
  <c r="I67" i="3"/>
  <c r="H67" i="3"/>
  <c r="N67" i="3"/>
  <c r="S67" i="3"/>
  <c r="AG70" i="3"/>
  <c r="Q71" i="3"/>
  <c r="M71" i="3"/>
  <c r="I71" i="3"/>
  <c r="H71" i="3"/>
  <c r="N71" i="3"/>
  <c r="S71" i="3"/>
  <c r="AG74" i="3"/>
  <c r="Q75" i="3"/>
  <c r="M75" i="3"/>
  <c r="I75" i="3"/>
  <c r="H75" i="3"/>
  <c r="N75" i="3"/>
  <c r="S75" i="3"/>
  <c r="Q78" i="3"/>
  <c r="Q80" i="3"/>
  <c r="Q82" i="3"/>
  <c r="S87" i="3"/>
  <c r="O87" i="3"/>
  <c r="K87" i="3"/>
  <c r="G87" i="3"/>
  <c r="Q87" i="3"/>
  <c r="L87" i="3"/>
  <c r="F87" i="3"/>
  <c r="P87" i="3"/>
  <c r="I87" i="3"/>
  <c r="N87" i="3"/>
  <c r="H87" i="3"/>
  <c r="T87" i="3"/>
  <c r="M87" i="3"/>
  <c r="S89" i="3"/>
  <c r="O89" i="3"/>
  <c r="K89" i="3"/>
  <c r="G89" i="3"/>
  <c r="Q89" i="3"/>
  <c r="L89" i="3"/>
  <c r="F89" i="3"/>
  <c r="P89" i="3"/>
  <c r="I89" i="3"/>
  <c r="N89" i="3"/>
  <c r="H89" i="3"/>
  <c r="T89" i="3"/>
  <c r="M89" i="3"/>
  <c r="S91" i="3"/>
  <c r="O91" i="3"/>
  <c r="K91" i="3"/>
  <c r="G91" i="3"/>
  <c r="Q91" i="3"/>
  <c r="L91" i="3"/>
  <c r="F91" i="3"/>
  <c r="P91" i="3"/>
  <c r="I91" i="3"/>
  <c r="N91" i="3"/>
  <c r="H91" i="3"/>
  <c r="T91" i="3"/>
  <c r="M91" i="3"/>
  <c r="T96" i="3"/>
  <c r="U45" i="3"/>
  <c r="Y45" i="3"/>
  <c r="AC45" i="3"/>
  <c r="U46" i="3"/>
  <c r="Y46" i="3"/>
  <c r="AC46" i="3"/>
  <c r="U47" i="3"/>
  <c r="Y47" i="3"/>
  <c r="AC47" i="3"/>
  <c r="U48" i="3"/>
  <c r="Y48" i="3"/>
  <c r="AC48" i="3"/>
  <c r="U49" i="3"/>
  <c r="Y49" i="3"/>
  <c r="AC49" i="3"/>
  <c r="U50" i="3"/>
  <c r="Y50" i="3"/>
  <c r="AC50" i="3"/>
  <c r="U51" i="3"/>
  <c r="Y51" i="3"/>
  <c r="AC51" i="3"/>
  <c r="U52" i="3"/>
  <c r="Y52" i="3"/>
  <c r="AC52" i="3"/>
  <c r="U53" i="3"/>
  <c r="Y53" i="3"/>
  <c r="AC53" i="3"/>
  <c r="U54" i="3"/>
  <c r="Y54" i="3"/>
  <c r="AC54" i="3"/>
  <c r="U55" i="3"/>
  <c r="Y55" i="3"/>
  <c r="AC55" i="3"/>
  <c r="U56" i="3"/>
  <c r="Y56" i="3"/>
  <c r="AC56" i="3"/>
  <c r="U57" i="3"/>
  <c r="Y57" i="3"/>
  <c r="AC57" i="3"/>
  <c r="U58" i="3"/>
  <c r="Y58" i="3"/>
  <c r="AC58" i="3"/>
  <c r="U59" i="3"/>
  <c r="Y59" i="3"/>
  <c r="AC59" i="3"/>
  <c r="U60" i="3"/>
  <c r="Y60" i="3"/>
  <c r="AC60" i="3"/>
  <c r="U61" i="3"/>
  <c r="Y61" i="3"/>
  <c r="AC61" i="3"/>
  <c r="U62" i="3"/>
  <c r="Y62" i="3"/>
  <c r="AC62" i="3"/>
  <c r="I63" i="3"/>
  <c r="M63" i="3"/>
  <c r="U63" i="3"/>
  <c r="Y63" i="3"/>
  <c r="AC63" i="3"/>
  <c r="I64" i="3"/>
  <c r="M64" i="3"/>
  <c r="U64" i="3"/>
  <c r="Y64" i="3"/>
  <c r="AC64" i="3"/>
  <c r="I65" i="3"/>
  <c r="M65" i="3"/>
  <c r="U65" i="3"/>
  <c r="Y65" i="3"/>
  <c r="AC65" i="3"/>
  <c r="I66" i="3"/>
  <c r="M66" i="3"/>
  <c r="U66" i="3"/>
  <c r="Y66" i="3"/>
  <c r="AC66" i="3"/>
  <c r="AG67" i="3"/>
  <c r="AC67" i="3"/>
  <c r="Y67" i="3"/>
  <c r="U67" i="3"/>
  <c r="J67" i="3"/>
  <c r="O67" i="3"/>
  <c r="T67" i="3"/>
  <c r="Z67" i="3"/>
  <c r="AE67" i="3"/>
  <c r="Q68" i="3"/>
  <c r="M68" i="3"/>
  <c r="I68" i="3"/>
  <c r="H68" i="3"/>
  <c r="N68" i="3"/>
  <c r="S68" i="3"/>
  <c r="AG71" i="3"/>
  <c r="J71" i="3"/>
  <c r="O71" i="3"/>
  <c r="T71" i="3"/>
  <c r="Q72" i="3"/>
  <c r="M72" i="3"/>
  <c r="I72" i="3"/>
  <c r="H72" i="3"/>
  <c r="N72" i="3"/>
  <c r="S72" i="3"/>
  <c r="AG75" i="3"/>
  <c r="J75" i="3"/>
  <c r="O75" i="3"/>
  <c r="T75" i="3"/>
  <c r="Q76" i="3"/>
  <c r="M76" i="3"/>
  <c r="I76" i="3"/>
  <c r="H76" i="3"/>
  <c r="N76" i="3"/>
  <c r="S76" i="3"/>
  <c r="AG78" i="3"/>
  <c r="AG80" i="3"/>
  <c r="AG82" i="3"/>
  <c r="S93" i="3"/>
  <c r="O93" i="3"/>
  <c r="K93" i="3"/>
  <c r="G93" i="3"/>
  <c r="P93" i="3"/>
  <c r="J93" i="3"/>
  <c r="Q93" i="3"/>
  <c r="L93" i="3"/>
  <c r="F93" i="3"/>
  <c r="T93" i="3"/>
  <c r="I93" i="3"/>
  <c r="R93" i="3"/>
  <c r="H93" i="3"/>
  <c r="N93" i="3"/>
  <c r="AG96" i="3"/>
  <c r="S84" i="3"/>
  <c r="O84" i="3"/>
  <c r="K84" i="3"/>
  <c r="G84" i="3"/>
  <c r="I84" i="3"/>
  <c r="N84" i="3"/>
  <c r="T84" i="3"/>
  <c r="S85" i="3"/>
  <c r="O85" i="3"/>
  <c r="K85" i="3"/>
  <c r="G85" i="3"/>
  <c r="I85" i="3"/>
  <c r="N85" i="3"/>
  <c r="T85" i="3"/>
  <c r="AI87" i="3"/>
  <c r="AE87" i="3"/>
  <c r="AA87" i="3"/>
  <c r="W87" i="3"/>
  <c r="AG87" i="3"/>
  <c r="AB87" i="3"/>
  <c r="V87" i="3"/>
  <c r="Z87" i="3"/>
  <c r="AH87" i="3"/>
  <c r="AI89" i="3"/>
  <c r="AE89" i="3"/>
  <c r="AA89" i="3"/>
  <c r="W89" i="3"/>
  <c r="AG89" i="3"/>
  <c r="AB89" i="3"/>
  <c r="V89" i="3"/>
  <c r="Z89" i="3"/>
  <c r="AH89" i="3"/>
  <c r="AI91" i="3"/>
  <c r="AE91" i="3"/>
  <c r="AA91" i="3"/>
  <c r="W91" i="3"/>
  <c r="AF91" i="3"/>
  <c r="Z91" i="3"/>
  <c r="U91" i="3"/>
  <c r="AG91" i="3"/>
  <c r="AB91" i="3"/>
  <c r="V91" i="3"/>
  <c r="AD91" i="3"/>
  <c r="AG93" i="3"/>
  <c r="S94" i="3"/>
  <c r="O94" i="3"/>
  <c r="K94" i="3"/>
  <c r="G94" i="3"/>
  <c r="P94" i="3"/>
  <c r="J94" i="3"/>
  <c r="Q94" i="3"/>
  <c r="L94" i="3"/>
  <c r="F94" i="3"/>
  <c r="M94" i="3"/>
  <c r="H78" i="3"/>
  <c r="L78" i="3"/>
  <c r="P78" i="3"/>
  <c r="T78" i="3"/>
  <c r="H79" i="3"/>
  <c r="L79" i="3"/>
  <c r="P79" i="3"/>
  <c r="T79" i="3"/>
  <c r="H80" i="3"/>
  <c r="L80" i="3"/>
  <c r="P80" i="3"/>
  <c r="T80" i="3"/>
  <c r="H81" i="3"/>
  <c r="L81" i="3"/>
  <c r="P81" i="3"/>
  <c r="T81" i="3"/>
  <c r="H82" i="3"/>
  <c r="L82" i="3"/>
  <c r="P82" i="3"/>
  <c r="T82" i="3"/>
  <c r="S83" i="3"/>
  <c r="H83" i="3"/>
  <c r="L83" i="3"/>
  <c r="P83" i="3"/>
  <c r="AI84" i="3"/>
  <c r="AE84" i="3"/>
  <c r="AA84" i="3"/>
  <c r="W84" i="3"/>
  <c r="J84" i="3"/>
  <c r="P84" i="3"/>
  <c r="U84" i="3"/>
  <c r="Z84" i="3"/>
  <c r="AF84" i="3"/>
  <c r="AI85" i="3"/>
  <c r="AE85" i="3"/>
  <c r="AA85" i="3"/>
  <c r="W85" i="3"/>
  <c r="AG85" i="3"/>
  <c r="AB85" i="3"/>
  <c r="V85" i="3"/>
  <c r="J85" i="3"/>
  <c r="P85" i="3"/>
  <c r="U85" i="3"/>
  <c r="AC85" i="3"/>
  <c r="S86" i="3"/>
  <c r="O86" i="3"/>
  <c r="K86" i="3"/>
  <c r="G86" i="3"/>
  <c r="Q86" i="3"/>
  <c r="L86" i="3"/>
  <c r="F86" i="3"/>
  <c r="J86" i="3"/>
  <c r="R86" i="3"/>
  <c r="U87" i="3"/>
  <c r="AC87" i="3"/>
  <c r="S88" i="3"/>
  <c r="O88" i="3"/>
  <c r="K88" i="3"/>
  <c r="G88" i="3"/>
  <c r="Q88" i="3"/>
  <c r="L88" i="3"/>
  <c r="F88" i="3"/>
  <c r="J88" i="3"/>
  <c r="R88" i="3"/>
  <c r="U89" i="3"/>
  <c r="AC89" i="3"/>
  <c r="S90" i="3"/>
  <c r="O90" i="3"/>
  <c r="K90" i="3"/>
  <c r="G90" i="3"/>
  <c r="Q90" i="3"/>
  <c r="L90" i="3"/>
  <c r="F90" i="3"/>
  <c r="J90" i="3"/>
  <c r="R90" i="3"/>
  <c r="X91" i="3"/>
  <c r="AH91" i="3"/>
  <c r="AG94" i="3"/>
  <c r="N94" i="3"/>
  <c r="S95" i="3"/>
  <c r="O95" i="3"/>
  <c r="K95" i="3"/>
  <c r="G95" i="3"/>
  <c r="P95" i="3"/>
  <c r="J95" i="3"/>
  <c r="Q95" i="3"/>
  <c r="L95" i="3"/>
  <c r="F95" i="3"/>
  <c r="M95" i="3"/>
  <c r="I96" i="3"/>
  <c r="Q97" i="3"/>
  <c r="U68" i="3"/>
  <c r="Y68" i="3"/>
  <c r="AC68" i="3"/>
  <c r="U69" i="3"/>
  <c r="Y69" i="3"/>
  <c r="AC69" i="3"/>
  <c r="U70" i="3"/>
  <c r="Y70" i="3"/>
  <c r="AC70" i="3"/>
  <c r="U71" i="3"/>
  <c r="Y71" i="3"/>
  <c r="AC71" i="3"/>
  <c r="U72" i="3"/>
  <c r="Y72" i="3"/>
  <c r="AC72" i="3"/>
  <c r="U73" i="3"/>
  <c r="Y73" i="3"/>
  <c r="AC73" i="3"/>
  <c r="U74" i="3"/>
  <c r="Y74" i="3"/>
  <c r="AC74" i="3"/>
  <c r="U75" i="3"/>
  <c r="Y75" i="3"/>
  <c r="AC75" i="3"/>
  <c r="U76" i="3"/>
  <c r="Y76" i="3"/>
  <c r="AC76" i="3"/>
  <c r="U77" i="3"/>
  <c r="Y77" i="3"/>
  <c r="AC77" i="3"/>
  <c r="I78" i="3"/>
  <c r="M78" i="3"/>
  <c r="U78" i="3"/>
  <c r="Y78" i="3"/>
  <c r="AC78" i="3"/>
  <c r="I79" i="3"/>
  <c r="M79" i="3"/>
  <c r="U79" i="3"/>
  <c r="Y79" i="3"/>
  <c r="AC79" i="3"/>
  <c r="I80" i="3"/>
  <c r="M80" i="3"/>
  <c r="U80" i="3"/>
  <c r="Y80" i="3"/>
  <c r="AC80" i="3"/>
  <c r="I81" i="3"/>
  <c r="M81" i="3"/>
  <c r="U81" i="3"/>
  <c r="Y81" i="3"/>
  <c r="AC81" i="3"/>
  <c r="I82" i="3"/>
  <c r="M82" i="3"/>
  <c r="U82" i="3"/>
  <c r="Y82" i="3"/>
  <c r="AC82" i="3"/>
  <c r="AI83" i="3"/>
  <c r="AE83" i="3"/>
  <c r="AA83" i="3"/>
  <c r="W83" i="3"/>
  <c r="I83" i="3"/>
  <c r="M83" i="3"/>
  <c r="Q83" i="3"/>
  <c r="V83" i="3"/>
  <c r="AB83" i="3"/>
  <c r="AG83" i="3"/>
  <c r="F84" i="3"/>
  <c r="L84" i="3"/>
  <c r="Q84" i="3"/>
  <c r="V84" i="3"/>
  <c r="AB84" i="3"/>
  <c r="AG84" i="3"/>
  <c r="F85" i="3"/>
  <c r="L85" i="3"/>
  <c r="Q85" i="3"/>
  <c r="X85" i="3"/>
  <c r="AD85" i="3"/>
  <c r="AI86" i="3"/>
  <c r="AE86" i="3"/>
  <c r="AA86" i="3"/>
  <c r="W86" i="3"/>
  <c r="AG86" i="3"/>
  <c r="AB86" i="3"/>
  <c r="V86" i="3"/>
  <c r="M86" i="3"/>
  <c r="T86" i="3"/>
  <c r="Z86" i="3"/>
  <c r="AH86" i="3"/>
  <c r="X87" i="3"/>
  <c r="AD87" i="3"/>
  <c r="AI88" i="3"/>
  <c r="AE88" i="3"/>
  <c r="AA88" i="3"/>
  <c r="W88" i="3"/>
  <c r="AG88" i="3"/>
  <c r="AB88" i="3"/>
  <c r="V88" i="3"/>
  <c r="M88" i="3"/>
  <c r="T88" i="3"/>
  <c r="Z88" i="3"/>
  <c r="AH88" i="3"/>
  <c r="X89" i="3"/>
  <c r="AD89" i="3"/>
  <c r="AI90" i="3"/>
  <c r="AE90" i="3"/>
  <c r="AA90" i="3"/>
  <c r="W90" i="3"/>
  <c r="AG90" i="3"/>
  <c r="AB90" i="3"/>
  <c r="V90" i="3"/>
  <c r="M90" i="3"/>
  <c r="T90" i="3"/>
  <c r="Z90" i="3"/>
  <c r="AH90" i="3"/>
  <c r="Y91" i="3"/>
  <c r="S92" i="3"/>
  <c r="O92" i="3"/>
  <c r="K92" i="3"/>
  <c r="G92" i="3"/>
  <c r="P92" i="3"/>
  <c r="J92" i="3"/>
  <c r="Q92" i="3"/>
  <c r="L92" i="3"/>
  <c r="F92" i="3"/>
  <c r="M92" i="3"/>
  <c r="H94" i="3"/>
  <c r="R94" i="3"/>
  <c r="AG95" i="3"/>
  <c r="N95" i="3"/>
  <c r="S96" i="3"/>
  <c r="O96" i="3"/>
  <c r="K96" i="3"/>
  <c r="G96" i="3"/>
  <c r="P96" i="3"/>
  <c r="J96" i="3"/>
  <c r="Q96" i="3"/>
  <c r="L96" i="3"/>
  <c r="F96" i="3"/>
  <c r="M96" i="3"/>
  <c r="AG97" i="3"/>
  <c r="V92" i="3"/>
  <c r="AB92" i="3"/>
  <c r="V93" i="3"/>
  <c r="AB93" i="3"/>
  <c r="V94" i="3"/>
  <c r="AB94" i="3"/>
  <c r="V95" i="3"/>
  <c r="AB95" i="3"/>
  <c r="V96" i="3"/>
  <c r="AB96" i="3"/>
  <c r="F97" i="3"/>
  <c r="L97" i="3"/>
  <c r="V97" i="3"/>
  <c r="AB97" i="3"/>
  <c r="S97" i="3"/>
  <c r="O97" i="3"/>
  <c r="K97" i="3"/>
  <c r="G97" i="3"/>
  <c r="I97" i="3"/>
  <c r="N97" i="3"/>
  <c r="T97" i="3"/>
  <c r="Q98" i="3"/>
  <c r="AI92" i="3"/>
  <c r="AE92" i="3"/>
  <c r="AA92" i="3"/>
  <c r="W92" i="3"/>
  <c r="U92" i="3"/>
  <c r="Z92" i="3"/>
  <c r="AF92" i="3"/>
  <c r="AI93" i="3"/>
  <c r="AE93" i="3"/>
  <c r="AA93" i="3"/>
  <c r="W93" i="3"/>
  <c r="U93" i="3"/>
  <c r="Z93" i="3"/>
  <c r="AF93" i="3"/>
  <c r="AI94" i="3"/>
  <c r="AE94" i="3"/>
  <c r="AA94" i="3"/>
  <c r="W94" i="3"/>
  <c r="U94" i="3"/>
  <c r="Z94" i="3"/>
  <c r="AF94" i="3"/>
  <c r="AI95" i="3"/>
  <c r="AE95" i="3"/>
  <c r="AA95" i="3"/>
  <c r="W95" i="3"/>
  <c r="U95" i="3"/>
  <c r="Z95" i="3"/>
  <c r="AF95" i="3"/>
  <c r="AI96" i="3"/>
  <c r="AE96" i="3"/>
  <c r="AA96" i="3"/>
  <c r="W96" i="3"/>
  <c r="U96" i="3"/>
  <c r="Z96" i="3"/>
  <c r="AF96" i="3"/>
  <c r="AI97" i="3"/>
  <c r="AE97" i="3"/>
  <c r="AA97" i="3"/>
  <c r="W97" i="3"/>
  <c r="J97" i="3"/>
  <c r="P97" i="3"/>
  <c r="U97" i="3"/>
  <c r="Z97" i="3"/>
  <c r="AF97" i="3"/>
  <c r="AG98" i="3"/>
  <c r="G98" i="3"/>
  <c r="K98" i="3"/>
  <c r="O98" i="3"/>
  <c r="S98" i="3"/>
  <c r="W98" i="3"/>
  <c r="AA98" i="3"/>
  <c r="AE98" i="3"/>
  <c r="AI98" i="3"/>
  <c r="H98" i="3"/>
  <c r="L98" i="3"/>
  <c r="P98" i="3"/>
  <c r="T98" i="3"/>
  <c r="X98" i="3"/>
  <c r="AB98" i="3"/>
  <c r="AF98" i="3"/>
  <c r="I98" i="3"/>
  <c r="M98" i="3"/>
  <c r="U98" i="3"/>
  <c r="Y98" i="3"/>
  <c r="AC98" i="3"/>
  <c r="P32" i="4" l="1"/>
  <c r="N68" i="4"/>
  <c r="J60" i="4"/>
  <c r="N67" i="4"/>
  <c r="H43" i="4"/>
  <c r="H41" i="4"/>
  <c r="O79" i="4"/>
  <c r="H37" i="4"/>
  <c r="O28" i="4"/>
  <c r="O6" i="4"/>
  <c r="H34" i="4"/>
  <c r="O8" i="4"/>
  <c r="O24" i="4"/>
  <c r="N76" i="4"/>
  <c r="O21" i="4"/>
  <c r="P24" i="4"/>
  <c r="P36" i="4"/>
  <c r="P16" i="4"/>
  <c r="H30" i="4"/>
  <c r="H29" i="4"/>
  <c r="H35" i="4"/>
  <c r="H33" i="4"/>
  <c r="H26" i="4"/>
  <c r="O36" i="4"/>
  <c r="O7" i="4"/>
  <c r="O87" i="4"/>
  <c r="O26" i="4"/>
  <c r="O30" i="4"/>
  <c r="H27" i="4"/>
  <c r="P12" i="4"/>
  <c r="P20" i="4"/>
  <c r="O17" i="4"/>
  <c r="O43" i="4"/>
  <c r="O39" i="4"/>
  <c r="O9" i="4"/>
  <c r="H25" i="4"/>
  <c r="N60" i="4"/>
  <c r="P28" i="4"/>
  <c r="P83" i="4"/>
  <c r="P55" i="4"/>
  <c r="O42" i="4"/>
  <c r="O38" i="4"/>
  <c r="O29" i="4"/>
  <c r="O34" i="4"/>
  <c r="N51" i="4"/>
  <c r="P96" i="4"/>
  <c r="N9" i="4"/>
  <c r="N98" i="4"/>
  <c r="N48" i="4"/>
  <c r="F20" i="4"/>
  <c r="H20" i="4"/>
  <c r="H42" i="4"/>
  <c r="H40" i="4"/>
  <c r="H38" i="4"/>
  <c r="H21" i="4"/>
  <c r="K20" i="4"/>
  <c r="O93" i="4"/>
  <c r="O91" i="4"/>
  <c r="O80" i="4"/>
  <c r="O65" i="4"/>
  <c r="O47" i="4"/>
  <c r="O64" i="4"/>
  <c r="P68" i="4"/>
  <c r="P95" i="4"/>
  <c r="P87" i="4"/>
  <c r="P75" i="4"/>
  <c r="P19" i="4"/>
  <c r="N94" i="4"/>
  <c r="N66" i="4"/>
  <c r="N65" i="4"/>
  <c r="N64" i="4"/>
  <c r="N63" i="4"/>
  <c r="N5" i="4"/>
  <c r="N84" i="4"/>
  <c r="P51" i="4"/>
  <c r="P62" i="4"/>
  <c r="N59" i="4"/>
  <c r="N50" i="4"/>
  <c r="H67" i="4"/>
  <c r="H39" i="4"/>
  <c r="O52" i="4"/>
  <c r="O55" i="4"/>
  <c r="O62" i="4"/>
  <c r="O46" i="4"/>
  <c r="O45" i="4"/>
  <c r="O57" i="4"/>
  <c r="O89" i="4"/>
  <c r="O82" i="4"/>
  <c r="O11" i="4"/>
  <c r="O98" i="4"/>
  <c r="O97" i="4"/>
  <c r="O81" i="4"/>
  <c r="O76" i="4"/>
  <c r="O68" i="4"/>
  <c r="O66" i="4"/>
  <c r="O75" i="4"/>
  <c r="O60" i="4"/>
  <c r="O59" i="4"/>
  <c r="O50" i="4"/>
  <c r="O41" i="4"/>
  <c r="O40" i="4"/>
  <c r="O37" i="4"/>
  <c r="O12" i="4"/>
  <c r="O77" i="4"/>
  <c r="P70" i="4"/>
  <c r="P97" i="4"/>
  <c r="P74" i="4"/>
  <c r="P52" i="4"/>
  <c r="P69" i="4"/>
  <c r="P47" i="4"/>
  <c r="P46" i="4"/>
  <c r="P92" i="4"/>
  <c r="P22" i="4"/>
  <c r="P14" i="4"/>
  <c r="P86" i="4"/>
  <c r="P89" i="4"/>
  <c r="P43" i="4"/>
  <c r="P42" i="4"/>
  <c r="P41" i="4"/>
  <c r="P40" i="4"/>
  <c r="P39" i="4"/>
  <c r="P38" i="4"/>
  <c r="P37" i="4"/>
  <c r="P15" i="4"/>
  <c r="P21" i="4"/>
  <c r="N10" i="4"/>
  <c r="N44" i="4"/>
  <c r="N47" i="4"/>
  <c r="N62" i="4"/>
  <c r="N46" i="4"/>
  <c r="N43" i="4"/>
  <c r="N40" i="4"/>
  <c r="N39" i="4"/>
  <c r="N97" i="4"/>
  <c r="N96" i="4"/>
  <c r="N95" i="4"/>
  <c r="N93" i="4"/>
  <c r="N75" i="4"/>
  <c r="N6" i="4"/>
  <c r="N77" i="4"/>
  <c r="N72" i="4"/>
  <c r="F16" i="4"/>
  <c r="H13" i="4"/>
  <c r="H91" i="4"/>
  <c r="H82" i="4"/>
  <c r="H78" i="4"/>
  <c r="H76" i="4"/>
  <c r="H72" i="4"/>
  <c r="H68" i="4"/>
  <c r="H63" i="4"/>
  <c r="H61" i="4"/>
  <c r="H57" i="4"/>
  <c r="H53" i="4"/>
  <c r="H49" i="4"/>
  <c r="H45" i="4"/>
  <c r="H92" i="4"/>
  <c r="H44" i="4"/>
  <c r="H8" i="4"/>
  <c r="H17" i="4"/>
  <c r="K16" i="4"/>
  <c r="P76" i="4"/>
  <c r="O33" i="4"/>
  <c r="H94" i="4"/>
  <c r="O14" i="4"/>
  <c r="P94" i="4"/>
  <c r="P56" i="4"/>
  <c r="H10" i="4"/>
  <c r="N8" i="4"/>
  <c r="H11" i="4"/>
  <c r="P17" i="4"/>
  <c r="N56" i="4"/>
  <c r="K12" i="4"/>
  <c r="H7" i="4"/>
  <c r="O78" i="4"/>
  <c r="P72" i="4"/>
  <c r="O63" i="4"/>
  <c r="P60" i="4"/>
  <c r="N52" i="4"/>
  <c r="N55" i="4"/>
  <c r="P50" i="4"/>
  <c r="P44" i="4"/>
  <c r="N42" i="4"/>
  <c r="N41" i="4"/>
  <c r="N38" i="4"/>
  <c r="N37" i="4"/>
  <c r="O25" i="4"/>
  <c r="H16" i="4"/>
  <c r="H9" i="4"/>
  <c r="N7" i="4"/>
  <c r="H15" i="4"/>
  <c r="H93" i="4"/>
  <c r="J92" i="4"/>
  <c r="Q92" i="4"/>
  <c r="J88" i="4"/>
  <c r="Q88" i="4"/>
  <c r="I64" i="4"/>
  <c r="E64" i="4"/>
  <c r="D64" i="4"/>
  <c r="G64" i="4"/>
  <c r="H98" i="4"/>
  <c r="I93" i="4"/>
  <c r="E93" i="4"/>
  <c r="D93" i="4"/>
  <c r="G93" i="4"/>
  <c r="Q85" i="4"/>
  <c r="J85" i="4"/>
  <c r="H81" i="4"/>
  <c r="E78" i="4"/>
  <c r="I78" i="4"/>
  <c r="D78" i="4"/>
  <c r="G78" i="4"/>
  <c r="H77" i="4"/>
  <c r="G76" i="4"/>
  <c r="E76" i="4"/>
  <c r="I76" i="4"/>
  <c r="D76" i="4"/>
  <c r="H73" i="4"/>
  <c r="I72" i="4"/>
  <c r="E72" i="4"/>
  <c r="D72" i="4"/>
  <c r="G72" i="4"/>
  <c r="H69" i="4"/>
  <c r="I68" i="4"/>
  <c r="E68" i="4"/>
  <c r="D68" i="4"/>
  <c r="G68" i="4"/>
  <c r="J90" i="4"/>
  <c r="Q90" i="4"/>
  <c r="N90" i="4"/>
  <c r="P88" i="4"/>
  <c r="K85" i="4"/>
  <c r="F85" i="4"/>
  <c r="F89" i="4"/>
  <c r="K89" i="4"/>
  <c r="P93" i="4"/>
  <c r="H66" i="4"/>
  <c r="D63" i="4"/>
  <c r="G63" i="4"/>
  <c r="E63" i="4"/>
  <c r="I63" i="4"/>
  <c r="H62" i="4"/>
  <c r="D61" i="4"/>
  <c r="G61" i="4"/>
  <c r="I61" i="4"/>
  <c r="E61" i="4"/>
  <c r="H58" i="4"/>
  <c r="D57" i="4"/>
  <c r="G57" i="4"/>
  <c r="I57" i="4"/>
  <c r="E57" i="4"/>
  <c r="H54" i="4"/>
  <c r="D53" i="4"/>
  <c r="G53" i="4"/>
  <c r="I53" i="4"/>
  <c r="E53" i="4"/>
  <c r="H50" i="4"/>
  <c r="D49" i="4"/>
  <c r="G49" i="4"/>
  <c r="I49" i="4"/>
  <c r="E49" i="4"/>
  <c r="H46" i="4"/>
  <c r="I45" i="4"/>
  <c r="E45" i="4"/>
  <c r="D45" i="4"/>
  <c r="G45" i="4"/>
  <c r="J71" i="4"/>
  <c r="Q71" i="4"/>
  <c r="J34" i="4"/>
  <c r="Q34" i="4"/>
  <c r="J30" i="4"/>
  <c r="Q30" i="4"/>
  <c r="J26" i="4"/>
  <c r="Q26" i="4"/>
  <c r="J22" i="4"/>
  <c r="Q22" i="4"/>
  <c r="J18" i="4"/>
  <c r="Q18" i="4"/>
  <c r="J14" i="4"/>
  <c r="Q14" i="4"/>
  <c r="J54" i="4"/>
  <c r="Q54" i="4"/>
  <c r="I43" i="4"/>
  <c r="E43" i="4"/>
  <c r="D43" i="4"/>
  <c r="G43" i="4"/>
  <c r="K41" i="4"/>
  <c r="F41" i="4"/>
  <c r="I39" i="4"/>
  <c r="E39" i="4"/>
  <c r="D39" i="4"/>
  <c r="G39" i="4"/>
  <c r="K37" i="4"/>
  <c r="F37" i="4"/>
  <c r="P73" i="4"/>
  <c r="J73" i="4"/>
  <c r="Q73" i="4"/>
  <c r="P58" i="4"/>
  <c r="N54" i="4"/>
  <c r="P61" i="4"/>
  <c r="K30" i="4"/>
  <c r="F30" i="4"/>
  <c r="N21" i="4"/>
  <c r="G18" i="4"/>
  <c r="I18" i="4"/>
  <c r="E18" i="4"/>
  <c r="D18" i="4"/>
  <c r="O16" i="4"/>
  <c r="K8" i="4"/>
  <c r="F8" i="4"/>
  <c r="J49" i="4"/>
  <c r="Q49" i="4"/>
  <c r="N49" i="4"/>
  <c r="K29" i="4"/>
  <c r="F29" i="4"/>
  <c r="H19" i="4"/>
  <c r="K18" i="4"/>
  <c r="F18" i="4"/>
  <c r="N16" i="4"/>
  <c r="O15" i="4"/>
  <c r="P5" i="4"/>
  <c r="N14" i="4"/>
  <c r="P53" i="4"/>
  <c r="K36" i="4"/>
  <c r="F36" i="4"/>
  <c r="O35" i="4"/>
  <c r="G32" i="4"/>
  <c r="I32" i="4"/>
  <c r="E32" i="4"/>
  <c r="D32" i="4"/>
  <c r="H31" i="4"/>
  <c r="H18" i="4"/>
  <c r="G16" i="4"/>
  <c r="I16" i="4"/>
  <c r="E16" i="4"/>
  <c r="D16" i="4"/>
  <c r="K13" i="4"/>
  <c r="F13" i="4"/>
  <c r="J6" i="4"/>
  <c r="Q6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J46" i="4"/>
  <c r="Q46" i="4"/>
  <c r="G90" i="4"/>
  <c r="E90" i="4"/>
  <c r="D90" i="4"/>
  <c r="I90" i="4"/>
  <c r="J40" i="4"/>
  <c r="Q40" i="4"/>
  <c r="J44" i="4"/>
  <c r="Q44" i="4"/>
  <c r="Q47" i="4"/>
  <c r="J47" i="4"/>
  <c r="K68" i="4"/>
  <c r="F68" i="4"/>
  <c r="K77" i="4"/>
  <c r="F77" i="4"/>
  <c r="K79" i="4"/>
  <c r="F79" i="4"/>
  <c r="N70" i="4"/>
  <c r="Q72" i="4"/>
  <c r="J72" i="4"/>
  <c r="O94" i="4"/>
  <c r="F78" i="4"/>
  <c r="K78" i="4"/>
  <c r="F80" i="4"/>
  <c r="K80" i="4"/>
  <c r="H83" i="4"/>
  <c r="O95" i="4"/>
  <c r="I31" i="4"/>
  <c r="E31" i="4"/>
  <c r="D31" i="4"/>
  <c r="G31" i="4"/>
  <c r="I9" i="4"/>
  <c r="E9" i="4"/>
  <c r="D9" i="4"/>
  <c r="G9" i="4"/>
  <c r="D75" i="4"/>
  <c r="E75" i="4"/>
  <c r="I75" i="4"/>
  <c r="G75" i="4"/>
  <c r="G71" i="4"/>
  <c r="I71" i="4"/>
  <c r="E71" i="4"/>
  <c r="D71" i="4"/>
  <c r="I89" i="4"/>
  <c r="D89" i="4"/>
  <c r="E89" i="4"/>
  <c r="G89" i="4"/>
  <c r="I91" i="4"/>
  <c r="E91" i="4"/>
  <c r="D91" i="4"/>
  <c r="G91" i="4"/>
  <c r="I60" i="4"/>
  <c r="E60" i="4"/>
  <c r="D60" i="4"/>
  <c r="G60" i="4"/>
  <c r="G98" i="4"/>
  <c r="E98" i="4"/>
  <c r="D98" i="4"/>
  <c r="I98" i="4"/>
  <c r="K98" i="4"/>
  <c r="F98" i="4"/>
  <c r="G94" i="4"/>
  <c r="E94" i="4"/>
  <c r="D94" i="4"/>
  <c r="I94" i="4"/>
  <c r="K92" i="4"/>
  <c r="F92" i="4"/>
  <c r="J96" i="4"/>
  <c r="Q96" i="4"/>
  <c r="N92" i="4"/>
  <c r="F88" i="4"/>
  <c r="K88" i="4"/>
  <c r="O83" i="4"/>
  <c r="D81" i="4"/>
  <c r="E81" i="4"/>
  <c r="I81" i="4"/>
  <c r="G81" i="4"/>
  <c r="H80" i="4"/>
  <c r="D77" i="4"/>
  <c r="I77" i="4"/>
  <c r="G77" i="4"/>
  <c r="E77" i="4"/>
  <c r="H74" i="4"/>
  <c r="G73" i="4"/>
  <c r="I73" i="4"/>
  <c r="E73" i="4"/>
  <c r="D73" i="4"/>
  <c r="H70" i="4"/>
  <c r="G69" i="4"/>
  <c r="I69" i="4"/>
  <c r="E69" i="4"/>
  <c r="D69" i="4"/>
  <c r="Q95" i="4"/>
  <c r="J95" i="4"/>
  <c r="P90" i="4"/>
  <c r="D85" i="4"/>
  <c r="I85" i="4"/>
  <c r="G85" i="4"/>
  <c r="E85" i="4"/>
  <c r="G84" i="4"/>
  <c r="E84" i="4"/>
  <c r="I84" i="4"/>
  <c r="D84" i="4"/>
  <c r="F84" i="4"/>
  <c r="K84" i="4"/>
  <c r="J83" i="4"/>
  <c r="Q83" i="4"/>
  <c r="K87" i="4"/>
  <c r="F87" i="4"/>
  <c r="N85" i="4"/>
  <c r="O84" i="4"/>
  <c r="P84" i="4"/>
  <c r="Q93" i="4"/>
  <c r="J93" i="4"/>
  <c r="O72" i="4"/>
  <c r="N71" i="4"/>
  <c r="I66" i="4"/>
  <c r="E66" i="4"/>
  <c r="D66" i="4"/>
  <c r="G66" i="4"/>
  <c r="H65" i="4"/>
  <c r="I62" i="4"/>
  <c r="E62" i="4"/>
  <c r="D62" i="4"/>
  <c r="G62" i="4"/>
  <c r="H59" i="4"/>
  <c r="I58" i="4"/>
  <c r="E58" i="4"/>
  <c r="D58" i="4"/>
  <c r="G58" i="4"/>
  <c r="H55" i="4"/>
  <c r="I54" i="4"/>
  <c r="E54" i="4"/>
  <c r="D54" i="4"/>
  <c r="G54" i="4"/>
  <c r="H51" i="4"/>
  <c r="I50" i="4"/>
  <c r="E50" i="4"/>
  <c r="D50" i="4"/>
  <c r="G50" i="4"/>
  <c r="H47" i="4"/>
  <c r="G46" i="4"/>
  <c r="I46" i="4"/>
  <c r="E46" i="4"/>
  <c r="D46" i="4"/>
  <c r="Q91" i="4"/>
  <c r="J91" i="4"/>
  <c r="N91" i="4"/>
  <c r="O67" i="4"/>
  <c r="J75" i="4"/>
  <c r="Q75" i="4"/>
  <c r="O70" i="4"/>
  <c r="J67" i="4"/>
  <c r="Q67" i="4"/>
  <c r="F66" i="4"/>
  <c r="K66" i="4"/>
  <c r="K65" i="4"/>
  <c r="F65" i="4"/>
  <c r="F64" i="4"/>
  <c r="K64" i="4"/>
  <c r="K63" i="4"/>
  <c r="F63" i="4"/>
  <c r="F62" i="4"/>
  <c r="K62" i="4"/>
  <c r="K61" i="4"/>
  <c r="F61" i="4"/>
  <c r="F60" i="4"/>
  <c r="K60" i="4"/>
  <c r="K59" i="4"/>
  <c r="F59" i="4"/>
  <c r="F58" i="4"/>
  <c r="K58" i="4"/>
  <c r="K57" i="4"/>
  <c r="F57" i="4"/>
  <c r="F56" i="4"/>
  <c r="K56" i="4"/>
  <c r="K55" i="4"/>
  <c r="F55" i="4"/>
  <c r="F54" i="4"/>
  <c r="K54" i="4"/>
  <c r="K53" i="4"/>
  <c r="F53" i="4"/>
  <c r="F52" i="4"/>
  <c r="K52" i="4"/>
  <c r="K51" i="4"/>
  <c r="F51" i="4"/>
  <c r="F50" i="4"/>
  <c r="K50" i="4"/>
  <c r="K49" i="4"/>
  <c r="F49" i="4"/>
  <c r="F48" i="4"/>
  <c r="K48" i="4"/>
  <c r="K47" i="4"/>
  <c r="F47" i="4"/>
  <c r="K46" i="4"/>
  <c r="F46" i="4"/>
  <c r="K45" i="4"/>
  <c r="F45" i="4"/>
  <c r="Q35" i="4"/>
  <c r="J35" i="4"/>
  <c r="Q31" i="4"/>
  <c r="J31" i="4"/>
  <c r="Q27" i="4"/>
  <c r="J27" i="4"/>
  <c r="Q23" i="4"/>
  <c r="J23" i="4"/>
  <c r="Q19" i="4"/>
  <c r="J19" i="4"/>
  <c r="Q15" i="4"/>
  <c r="J15" i="4"/>
  <c r="N69" i="4"/>
  <c r="O69" i="4"/>
  <c r="O51" i="4"/>
  <c r="K42" i="4"/>
  <c r="F42" i="4"/>
  <c r="G40" i="4"/>
  <c r="I40" i="4"/>
  <c r="E40" i="4"/>
  <c r="D40" i="4"/>
  <c r="K38" i="4"/>
  <c r="F38" i="4"/>
  <c r="J62" i="4"/>
  <c r="Q62" i="4"/>
  <c r="O58" i="4"/>
  <c r="P54" i="4"/>
  <c r="O61" i="4"/>
  <c r="Q48" i="4"/>
  <c r="J48" i="4"/>
  <c r="K34" i="4"/>
  <c r="F34" i="4"/>
  <c r="G26" i="4"/>
  <c r="I26" i="4"/>
  <c r="E26" i="4"/>
  <c r="D26" i="4"/>
  <c r="G22" i="4"/>
  <c r="I22" i="4"/>
  <c r="E22" i="4"/>
  <c r="D22" i="4"/>
  <c r="O20" i="4"/>
  <c r="H12" i="4"/>
  <c r="K11" i="4"/>
  <c r="F11" i="4"/>
  <c r="Q11" i="4"/>
  <c r="J11" i="4"/>
  <c r="H6" i="4"/>
  <c r="K35" i="4"/>
  <c r="F35" i="4"/>
  <c r="N22" i="4"/>
  <c r="I19" i="4"/>
  <c r="E19" i="4"/>
  <c r="D19" i="4"/>
  <c r="G19" i="4"/>
  <c r="F12" i="4"/>
  <c r="G8" i="4"/>
  <c r="I8" i="4"/>
  <c r="E8" i="4"/>
  <c r="D8" i="4"/>
  <c r="K5" i="4"/>
  <c r="F5" i="4"/>
  <c r="P49" i="4"/>
  <c r="H36" i="4"/>
  <c r="K33" i="4"/>
  <c r="F33" i="4"/>
  <c r="I25" i="4"/>
  <c r="E25" i="4"/>
  <c r="D25" i="4"/>
  <c r="G25" i="4"/>
  <c r="H24" i="4"/>
  <c r="P18" i="4"/>
  <c r="I17" i="4"/>
  <c r="E17" i="4"/>
  <c r="D17" i="4"/>
  <c r="G17" i="4"/>
  <c r="P9" i="4"/>
  <c r="P7" i="4"/>
  <c r="I27" i="4"/>
  <c r="E27" i="4"/>
  <c r="D27" i="4"/>
  <c r="G27" i="4"/>
  <c r="I11" i="4"/>
  <c r="E11" i="4"/>
  <c r="D11" i="4"/>
  <c r="G11" i="4"/>
  <c r="I7" i="4"/>
  <c r="E7" i="4"/>
  <c r="D7" i="4"/>
  <c r="G7" i="4"/>
  <c r="O53" i="4"/>
  <c r="O31" i="4"/>
  <c r="G28" i="4"/>
  <c r="I28" i="4"/>
  <c r="E28" i="4"/>
  <c r="D28" i="4"/>
  <c r="O27" i="4"/>
  <c r="G24" i="4"/>
  <c r="I24" i="4"/>
  <c r="E24" i="4"/>
  <c r="D24" i="4"/>
  <c r="H23" i="4"/>
  <c r="O22" i="4"/>
  <c r="H14" i="4"/>
  <c r="P13" i="4"/>
  <c r="G12" i="4"/>
  <c r="I12" i="4"/>
  <c r="E12" i="4"/>
  <c r="D12" i="4"/>
  <c r="Q5" i="4"/>
  <c r="J5" i="4"/>
  <c r="P23" i="4"/>
  <c r="P25" i="4"/>
  <c r="P26" i="4"/>
  <c r="P27" i="4"/>
  <c r="P29" i="4"/>
  <c r="P30" i="4"/>
  <c r="P31" i="4"/>
  <c r="P33" i="4"/>
  <c r="P34" i="4"/>
  <c r="P35" i="4"/>
  <c r="J50" i="4"/>
  <c r="Q50" i="4"/>
  <c r="Q39" i="4"/>
  <c r="J39" i="4"/>
  <c r="Q43" i="4"/>
  <c r="J43" i="4"/>
  <c r="J59" i="4"/>
  <c r="Q59" i="4"/>
  <c r="K69" i="4"/>
  <c r="F69" i="4"/>
  <c r="N74" i="4"/>
  <c r="J76" i="4"/>
  <c r="Q76" i="4"/>
  <c r="H87" i="4"/>
  <c r="K74" i="4"/>
  <c r="F74" i="4"/>
  <c r="K81" i="4"/>
  <c r="F81" i="4"/>
  <c r="F82" i="4"/>
  <c r="K82" i="4"/>
  <c r="H86" i="4"/>
  <c r="H90" i="4"/>
  <c r="H96" i="4"/>
  <c r="I23" i="4"/>
  <c r="E23" i="4"/>
  <c r="D23" i="4"/>
  <c r="G23" i="4"/>
  <c r="N18" i="4"/>
  <c r="K10" i="4"/>
  <c r="F10" i="4"/>
  <c r="I5" i="4"/>
  <c r="E5" i="4"/>
  <c r="D5" i="4"/>
  <c r="G5" i="4"/>
  <c r="P98" i="4"/>
  <c r="G96" i="4"/>
  <c r="D96" i="4"/>
  <c r="I96" i="4"/>
  <c r="E96" i="4"/>
  <c r="K94" i="4"/>
  <c r="F94" i="4"/>
  <c r="G92" i="4"/>
  <c r="D92" i="4"/>
  <c r="I92" i="4"/>
  <c r="E92" i="4"/>
  <c r="F83" i="4"/>
  <c r="K83" i="4"/>
  <c r="D79" i="4"/>
  <c r="G79" i="4"/>
  <c r="E79" i="4"/>
  <c r="I79" i="4"/>
  <c r="N88" i="4"/>
  <c r="F91" i="4"/>
  <c r="K91" i="4"/>
  <c r="G67" i="4"/>
  <c r="I67" i="4"/>
  <c r="E67" i="4"/>
  <c r="D67" i="4"/>
  <c r="I56" i="4"/>
  <c r="E56" i="4"/>
  <c r="D56" i="4"/>
  <c r="G56" i="4"/>
  <c r="I52" i="4"/>
  <c r="E52" i="4"/>
  <c r="D52" i="4"/>
  <c r="G52" i="4"/>
  <c r="I48" i="4"/>
  <c r="D48" i="4"/>
  <c r="G48" i="4"/>
  <c r="E48" i="4"/>
  <c r="F95" i="4"/>
  <c r="K95" i="4"/>
  <c r="K90" i="4"/>
  <c r="F90" i="4"/>
  <c r="G82" i="4"/>
  <c r="E82" i="4"/>
  <c r="I82" i="4"/>
  <c r="D82" i="4"/>
  <c r="J98" i="4"/>
  <c r="Q98" i="4"/>
  <c r="K96" i="4"/>
  <c r="F96" i="4"/>
  <c r="I97" i="4"/>
  <c r="E97" i="4"/>
  <c r="D97" i="4"/>
  <c r="G97" i="4"/>
  <c r="F97" i="4"/>
  <c r="K97" i="4"/>
  <c r="I95" i="4"/>
  <c r="E95" i="4"/>
  <c r="D95" i="4"/>
  <c r="G95" i="4"/>
  <c r="F93" i="4"/>
  <c r="K93" i="4"/>
  <c r="Q97" i="4"/>
  <c r="J97" i="4"/>
  <c r="F86" i="4"/>
  <c r="K86" i="4"/>
  <c r="J84" i="4"/>
  <c r="Q84" i="4"/>
  <c r="I80" i="4"/>
  <c r="D80" i="4"/>
  <c r="G80" i="4"/>
  <c r="E80" i="4"/>
  <c r="H79" i="4"/>
  <c r="H75" i="4"/>
  <c r="I74" i="4"/>
  <c r="E74" i="4"/>
  <c r="D74" i="4"/>
  <c r="G74" i="4"/>
  <c r="H71" i="4"/>
  <c r="I70" i="4"/>
  <c r="E70" i="4"/>
  <c r="D70" i="4"/>
  <c r="G70" i="4"/>
  <c r="O96" i="4"/>
  <c r="D87" i="4"/>
  <c r="G87" i="4"/>
  <c r="E87" i="4"/>
  <c r="I87" i="4"/>
  <c r="J86" i="4"/>
  <c r="Q86" i="4"/>
  <c r="N86" i="4"/>
  <c r="J82" i="4"/>
  <c r="Q82" i="4"/>
  <c r="Q81" i="4"/>
  <c r="J81" i="4"/>
  <c r="J80" i="4"/>
  <c r="Q80" i="4"/>
  <c r="Q79" i="4"/>
  <c r="J79" i="4"/>
  <c r="J78" i="4"/>
  <c r="Q78" i="4"/>
  <c r="J94" i="4"/>
  <c r="Q94" i="4"/>
  <c r="O85" i="4"/>
  <c r="P85" i="4"/>
  <c r="D65" i="4"/>
  <c r="G65" i="4"/>
  <c r="I65" i="4"/>
  <c r="E65" i="4"/>
  <c r="H64" i="4"/>
  <c r="H60" i="4"/>
  <c r="D59" i="4"/>
  <c r="G59" i="4"/>
  <c r="I59" i="4"/>
  <c r="E59" i="4"/>
  <c r="H56" i="4"/>
  <c r="D55" i="4"/>
  <c r="G55" i="4"/>
  <c r="E55" i="4"/>
  <c r="I55" i="4"/>
  <c r="H52" i="4"/>
  <c r="D51" i="4"/>
  <c r="G51" i="4"/>
  <c r="I51" i="4"/>
  <c r="E51" i="4"/>
  <c r="H48" i="4"/>
  <c r="I47" i="4"/>
  <c r="E47" i="4"/>
  <c r="D47" i="4"/>
  <c r="G47" i="4"/>
  <c r="P91" i="4"/>
  <c r="Q89" i="4"/>
  <c r="J89" i="4"/>
  <c r="N89" i="4"/>
  <c r="O71" i="4"/>
  <c r="P67" i="4"/>
  <c r="Q66" i="4"/>
  <c r="J66" i="4"/>
  <c r="J65" i="4"/>
  <c r="Q65" i="4"/>
  <c r="J64" i="4"/>
  <c r="Q64" i="4"/>
  <c r="J63" i="4"/>
  <c r="Q63" i="4"/>
  <c r="O74" i="4"/>
  <c r="O56" i="4"/>
  <c r="O48" i="4"/>
  <c r="J36" i="4"/>
  <c r="Q36" i="4"/>
  <c r="J32" i="4"/>
  <c r="Q32" i="4"/>
  <c r="J28" i="4"/>
  <c r="Q28" i="4"/>
  <c r="J24" i="4"/>
  <c r="Q24" i="4"/>
  <c r="J20" i="4"/>
  <c r="Q20" i="4"/>
  <c r="J16" i="4"/>
  <c r="Q16" i="4"/>
  <c r="J12" i="4"/>
  <c r="Q12" i="4"/>
  <c r="P59" i="4"/>
  <c r="G44" i="4"/>
  <c r="I44" i="4"/>
  <c r="E44" i="4"/>
  <c r="D44" i="4"/>
  <c r="K43" i="4"/>
  <c r="F43" i="4"/>
  <c r="I41" i="4"/>
  <c r="E41" i="4"/>
  <c r="D41" i="4"/>
  <c r="G41" i="4"/>
  <c r="K39" i="4"/>
  <c r="F39" i="4"/>
  <c r="I37" i="4"/>
  <c r="E37" i="4"/>
  <c r="D37" i="4"/>
  <c r="G37" i="4"/>
  <c r="N73" i="4"/>
  <c r="O73" i="4"/>
  <c r="O54" i="4"/>
  <c r="O44" i="4"/>
  <c r="Q45" i="4"/>
  <c r="J45" i="4"/>
  <c r="N45" i="4"/>
  <c r="G30" i="4"/>
  <c r="I30" i="4"/>
  <c r="E30" i="4"/>
  <c r="D30" i="4"/>
  <c r="K15" i="4"/>
  <c r="F15" i="4"/>
  <c r="N13" i="4"/>
  <c r="P11" i="4"/>
  <c r="H5" i="4"/>
  <c r="J57" i="4"/>
  <c r="Q57" i="4"/>
  <c r="N57" i="4"/>
  <c r="I88" i="4"/>
  <c r="D88" i="4"/>
  <c r="G88" i="4"/>
  <c r="E88" i="4"/>
  <c r="Q77" i="4"/>
  <c r="J77" i="4"/>
  <c r="O49" i="4"/>
  <c r="I29" i="4"/>
  <c r="E29" i="4"/>
  <c r="D29" i="4"/>
  <c r="G29" i="4"/>
  <c r="H28" i="4"/>
  <c r="K22" i="4"/>
  <c r="F22" i="4"/>
  <c r="N20" i="4"/>
  <c r="O19" i="4"/>
  <c r="K14" i="4"/>
  <c r="F14" i="4"/>
  <c r="N12" i="4"/>
  <c r="K6" i="4"/>
  <c r="F6" i="4"/>
  <c r="J56" i="4"/>
  <c r="Q56" i="4"/>
  <c r="K32" i="4"/>
  <c r="F32" i="4"/>
  <c r="O23" i="4"/>
  <c r="K21" i="4"/>
  <c r="F21" i="4"/>
  <c r="N19" i="4"/>
  <c r="O18" i="4"/>
  <c r="J10" i="4"/>
  <c r="Q10" i="4"/>
  <c r="K67" i="4"/>
  <c r="F67" i="4"/>
  <c r="J38" i="4"/>
  <c r="Q38" i="4"/>
  <c r="J42" i="4"/>
  <c r="Q42" i="4"/>
  <c r="J55" i="4"/>
  <c r="Q55" i="4"/>
  <c r="K75" i="4"/>
  <c r="F75" i="4"/>
  <c r="F76" i="4"/>
  <c r="K76" i="4"/>
  <c r="K73" i="4"/>
  <c r="F73" i="4"/>
  <c r="N81" i="4"/>
  <c r="N82" i="4"/>
  <c r="N83" i="4"/>
  <c r="H84" i="4"/>
  <c r="O86" i="4"/>
  <c r="O88" i="4"/>
  <c r="O90" i="4"/>
  <c r="D83" i="4"/>
  <c r="E83" i="4"/>
  <c r="I83" i="4"/>
  <c r="G83" i="4"/>
  <c r="Q60" i="4"/>
  <c r="K31" i="4"/>
  <c r="F31" i="4"/>
  <c r="I15" i="4"/>
  <c r="E15" i="4"/>
  <c r="D15" i="4"/>
  <c r="G15" i="4"/>
  <c r="G10" i="4"/>
  <c r="I10" i="4"/>
  <c r="E10" i="4"/>
  <c r="D10" i="4"/>
  <c r="N11" i="4"/>
  <c r="Q87" i="4"/>
  <c r="J87" i="4"/>
  <c r="N87" i="4"/>
  <c r="P71" i="4"/>
  <c r="P66" i="4"/>
  <c r="P65" i="4"/>
  <c r="P64" i="4"/>
  <c r="P63" i="4"/>
  <c r="Q33" i="4"/>
  <c r="J33" i="4"/>
  <c r="Q29" i="4"/>
  <c r="J29" i="4"/>
  <c r="Q25" i="4"/>
  <c r="J25" i="4"/>
  <c r="Q21" i="4"/>
  <c r="J21" i="4"/>
  <c r="Q17" i="4"/>
  <c r="J17" i="4"/>
  <c r="Q13" i="4"/>
  <c r="J13" i="4"/>
  <c r="J69" i="4"/>
  <c r="Q69" i="4"/>
  <c r="J58" i="4"/>
  <c r="Q58" i="4"/>
  <c r="K44" i="4"/>
  <c r="F44" i="4"/>
  <c r="G42" i="4"/>
  <c r="I42" i="4"/>
  <c r="E42" i="4"/>
  <c r="D42" i="4"/>
  <c r="K40" i="4"/>
  <c r="F40" i="4"/>
  <c r="G38" i="4"/>
  <c r="I38" i="4"/>
  <c r="E38" i="4"/>
  <c r="D38" i="4"/>
  <c r="N58" i="4"/>
  <c r="J61" i="4"/>
  <c r="Q61" i="4"/>
  <c r="N61" i="4"/>
  <c r="P45" i="4"/>
  <c r="G34" i="4"/>
  <c r="I34" i="4"/>
  <c r="E34" i="4"/>
  <c r="D34" i="4"/>
  <c r="K26" i="4"/>
  <c r="F26" i="4"/>
  <c r="K19" i="4"/>
  <c r="F19" i="4"/>
  <c r="N17" i="4"/>
  <c r="G14" i="4"/>
  <c r="I14" i="4"/>
  <c r="E14" i="4"/>
  <c r="D14" i="4"/>
  <c r="P57" i="4"/>
  <c r="I35" i="4"/>
  <c r="E35" i="4"/>
  <c r="D35" i="4"/>
  <c r="G35" i="4"/>
  <c r="K7" i="4"/>
  <c r="F7" i="4"/>
  <c r="K71" i="4"/>
  <c r="F71" i="4"/>
  <c r="J52" i="4"/>
  <c r="Q52" i="4"/>
  <c r="I33" i="4"/>
  <c r="E33" i="4"/>
  <c r="D33" i="4"/>
  <c r="G33" i="4"/>
  <c r="H32" i="4"/>
  <c r="K25" i="4"/>
  <c r="F25" i="4"/>
  <c r="I21" i="4"/>
  <c r="E21" i="4"/>
  <c r="D21" i="4"/>
  <c r="G21" i="4"/>
  <c r="I13" i="4"/>
  <c r="E13" i="4"/>
  <c r="D13" i="4"/>
  <c r="G13" i="4"/>
  <c r="P10" i="4"/>
  <c r="P8" i="4"/>
  <c r="P6" i="4"/>
  <c r="K27" i="4"/>
  <c r="F27" i="4"/>
  <c r="Q74" i="4"/>
  <c r="J74" i="4"/>
  <c r="J53" i="4"/>
  <c r="Q53" i="4"/>
  <c r="N53" i="4"/>
  <c r="G36" i="4"/>
  <c r="I36" i="4"/>
  <c r="E36" i="4"/>
  <c r="D36" i="4"/>
  <c r="K28" i="4"/>
  <c r="F28" i="4"/>
  <c r="K24" i="4"/>
  <c r="F24" i="4"/>
  <c r="H22" i="4"/>
  <c r="G20" i="4"/>
  <c r="I20" i="4"/>
  <c r="E20" i="4"/>
  <c r="D20" i="4"/>
  <c r="K17" i="4"/>
  <c r="F17" i="4"/>
  <c r="N15" i="4"/>
  <c r="Q9" i="4"/>
  <c r="J9" i="4"/>
  <c r="J8" i="4"/>
  <c r="Q8" i="4"/>
  <c r="Q7" i="4"/>
  <c r="J7" i="4"/>
  <c r="Q70" i="4"/>
  <c r="J70" i="4"/>
  <c r="E86" i="4"/>
  <c r="I86" i="4"/>
  <c r="D86" i="4"/>
  <c r="G86" i="4"/>
  <c r="Q37" i="4"/>
  <c r="J37" i="4"/>
  <c r="Q41" i="4"/>
  <c r="J41" i="4"/>
  <c r="J51" i="4"/>
  <c r="Q51" i="4"/>
  <c r="K72" i="4"/>
  <c r="F72" i="4"/>
  <c r="N78" i="4"/>
  <c r="P79" i="4"/>
  <c r="N80" i="4"/>
  <c r="Q68" i="4"/>
  <c r="J68" i="4"/>
  <c r="H85" i="4"/>
  <c r="H89" i="4"/>
  <c r="K70" i="4"/>
  <c r="F70" i="4"/>
  <c r="P78" i="4"/>
  <c r="N79" i="4"/>
  <c r="P80" i="4"/>
  <c r="P81" i="4"/>
  <c r="P82" i="4"/>
  <c r="H88" i="4"/>
  <c r="O92" i="4"/>
  <c r="H95" i="4"/>
  <c r="H97" i="4"/>
  <c r="K23" i="4"/>
  <c r="F23" i="4"/>
  <c r="K9" i="4"/>
  <c r="F9" i="4"/>
  <c r="G6" i="4"/>
  <c r="I6" i="4"/>
  <c r="E6" i="4"/>
  <c r="D6" i="4"/>
  <c r="L86" i="4" l="1"/>
  <c r="M86" i="4" s="1"/>
  <c r="L34" i="4"/>
  <c r="M34" i="4" s="1"/>
  <c r="L83" i="4"/>
  <c r="M83" i="4" s="1"/>
  <c r="L29" i="4"/>
  <c r="M29" i="4" s="1"/>
  <c r="L41" i="4"/>
  <c r="M41" i="4" s="1"/>
  <c r="L95" i="4"/>
  <c r="M95" i="4" s="1"/>
  <c r="L92" i="4"/>
  <c r="M92" i="4" s="1"/>
  <c r="L28" i="4"/>
  <c r="M28" i="4" s="1"/>
  <c r="L46" i="4"/>
  <c r="M46" i="4" s="1"/>
  <c r="L58" i="4"/>
  <c r="M58" i="4" s="1"/>
  <c r="L16" i="4"/>
  <c r="M16" i="4" s="1"/>
  <c r="L93" i="4"/>
  <c r="M93" i="4" s="1"/>
  <c r="L8" i="4"/>
  <c r="M8" i="4" s="1"/>
  <c r="L57" i="4"/>
  <c r="M57" i="4" s="1"/>
  <c r="L6" i="4"/>
  <c r="M6" i="4" s="1"/>
  <c r="L33" i="4"/>
  <c r="M33" i="4" s="1"/>
  <c r="L38" i="4"/>
  <c r="M38" i="4" s="1"/>
  <c r="L44" i="4"/>
  <c r="M44" i="4" s="1"/>
  <c r="L51" i="4"/>
  <c r="M51" i="4" s="1"/>
  <c r="L65" i="4"/>
  <c r="M65" i="4" s="1"/>
  <c r="L70" i="4"/>
  <c r="M70" i="4" s="1"/>
  <c r="L80" i="4"/>
  <c r="M80" i="4" s="1"/>
  <c r="L82" i="4"/>
  <c r="M82" i="4" s="1"/>
  <c r="L67" i="4"/>
  <c r="M67" i="4" s="1"/>
  <c r="L23" i="4"/>
  <c r="M23" i="4" s="1"/>
  <c r="L17" i="4"/>
  <c r="M17" i="4" s="1"/>
  <c r="L62" i="4"/>
  <c r="M62" i="4" s="1"/>
  <c r="L85" i="4"/>
  <c r="M85" i="4" s="1"/>
  <c r="L69" i="4"/>
  <c r="M69" i="4" s="1"/>
  <c r="L94" i="4"/>
  <c r="M94" i="4" s="1"/>
  <c r="L75" i="4"/>
  <c r="M75" i="4" s="1"/>
  <c r="L90" i="4"/>
  <c r="M90" i="4" s="1"/>
  <c r="L18" i="4"/>
  <c r="M18" i="4" s="1"/>
  <c r="L39" i="4"/>
  <c r="M39" i="4" s="1"/>
  <c r="L61" i="4"/>
  <c r="M61" i="4" s="1"/>
  <c r="L78" i="4"/>
  <c r="M78" i="4" s="1"/>
  <c r="L64" i="4"/>
  <c r="M64" i="4" s="1"/>
  <c r="L20" i="4"/>
  <c r="M20" i="4" s="1"/>
  <c r="L13" i="4"/>
  <c r="M13" i="4" s="1"/>
  <c r="L21" i="4"/>
  <c r="M21" i="4" s="1"/>
  <c r="L10" i="4"/>
  <c r="M10" i="4" s="1"/>
  <c r="L30" i="4"/>
  <c r="M30" i="4" s="1"/>
  <c r="L37" i="4"/>
  <c r="M37" i="4" s="1"/>
  <c r="L47" i="4"/>
  <c r="M47" i="4" s="1"/>
  <c r="L55" i="4"/>
  <c r="M55" i="4" s="1"/>
  <c r="L87" i="4"/>
  <c r="M87" i="4" s="1"/>
  <c r="L74" i="4"/>
  <c r="M74" i="4" s="1"/>
  <c r="L97" i="4"/>
  <c r="M97" i="4" s="1"/>
  <c r="L52" i="4"/>
  <c r="M52" i="4" s="1"/>
  <c r="L56" i="4"/>
  <c r="M56" i="4" s="1"/>
  <c r="L96" i="4"/>
  <c r="M96" i="4" s="1"/>
  <c r="L5" i="4"/>
  <c r="M5" i="4" s="1"/>
  <c r="L19" i="4"/>
  <c r="M19" i="4" s="1"/>
  <c r="L40" i="4"/>
  <c r="M40" i="4" s="1"/>
  <c r="L50" i="4"/>
  <c r="M50" i="4" s="1"/>
  <c r="L66" i="4"/>
  <c r="M66" i="4" s="1"/>
  <c r="L84" i="4"/>
  <c r="M84" i="4" s="1"/>
  <c r="L73" i="4"/>
  <c r="M73" i="4" s="1"/>
  <c r="L77" i="4"/>
  <c r="M77" i="4" s="1"/>
  <c r="L71" i="4"/>
  <c r="M71" i="4" s="1"/>
  <c r="L32" i="4"/>
  <c r="M32" i="4" s="1"/>
  <c r="L49" i="4"/>
  <c r="M49" i="4" s="1"/>
  <c r="L63" i="4"/>
  <c r="M63" i="4" s="1"/>
  <c r="L68" i="4"/>
  <c r="M68" i="4" s="1"/>
  <c r="L88" i="4"/>
  <c r="M88" i="4" s="1"/>
  <c r="L89" i="4"/>
  <c r="M89" i="4" s="1"/>
  <c r="L36" i="4"/>
  <c r="M36" i="4" s="1"/>
  <c r="L35" i="4"/>
  <c r="M35" i="4" s="1"/>
  <c r="L14" i="4"/>
  <c r="M14" i="4" s="1"/>
  <c r="L42" i="4"/>
  <c r="M42" i="4" s="1"/>
  <c r="L15" i="4"/>
  <c r="M15" i="4" s="1"/>
  <c r="L59" i="4"/>
  <c r="M59" i="4" s="1"/>
  <c r="L48" i="4"/>
  <c r="M48" i="4" s="1"/>
  <c r="L79" i="4"/>
  <c r="M79" i="4" s="1"/>
  <c r="L12" i="4"/>
  <c r="M12" i="4" s="1"/>
  <c r="L24" i="4"/>
  <c r="M24" i="4" s="1"/>
  <c r="L7" i="4"/>
  <c r="M7" i="4" s="1"/>
  <c r="L11" i="4"/>
  <c r="M11" i="4" s="1"/>
  <c r="L27" i="4"/>
  <c r="M27" i="4" s="1"/>
  <c r="L25" i="4"/>
  <c r="M25" i="4" s="1"/>
  <c r="L22" i="4"/>
  <c r="M22" i="4" s="1"/>
  <c r="L26" i="4"/>
  <c r="M26" i="4" s="1"/>
  <c r="L54" i="4"/>
  <c r="M54" i="4" s="1"/>
  <c r="L81" i="4"/>
  <c r="M81" i="4" s="1"/>
  <c r="L98" i="4"/>
  <c r="M98" i="4" s="1"/>
  <c r="L60" i="4"/>
  <c r="M60" i="4" s="1"/>
  <c r="L91" i="4"/>
  <c r="M91" i="4" s="1"/>
  <c r="L9" i="4"/>
  <c r="M9" i="4" s="1"/>
  <c r="L31" i="4"/>
  <c r="M31" i="4" s="1"/>
  <c r="L43" i="4"/>
  <c r="M43" i="4" s="1"/>
  <c r="L45" i="4"/>
  <c r="M45" i="4" s="1"/>
  <c r="L53" i="4"/>
  <c r="M53" i="4" s="1"/>
  <c r="L72" i="4"/>
  <c r="M72" i="4" s="1"/>
  <c r="L76" i="4"/>
  <c r="M76" i="4" s="1"/>
</calcChain>
</file>

<file path=xl/sharedStrings.xml><?xml version="1.0" encoding="utf-8"?>
<sst xmlns="http://schemas.openxmlformats.org/spreadsheetml/2006/main" count="1114" uniqueCount="278">
  <si>
    <t>GSE Non-Financial Listed Firms – Final Sample</t>
  </si>
  <si>
    <t>Green = included. Yellow = excluded cross-listed multinationals (no standalone Ghana financials). Pink = financial institutions excluded by design.</t>
  </si>
  <si>
    <t>Symbol</t>
  </si>
  <si>
    <t>Company</t>
  </si>
  <si>
    <t>Market</t>
  </si>
  <si>
    <t>Sector</t>
  </si>
  <si>
    <t>Classification</t>
  </si>
  <si>
    <t>Usable Obs.</t>
  </si>
  <si>
    <t>Study Coverage</t>
  </si>
  <si>
    <t>Notes</t>
  </si>
  <si>
    <t>ALW</t>
  </si>
  <si>
    <t>Aluworks Ltd</t>
  </si>
  <si>
    <t>Main</t>
  </si>
  <si>
    <t>Basic Materials</t>
  </si>
  <si>
    <t>Non-Financial (Included)</t>
  </si>
  <si>
    <t>FY2019–FY2023 (base FY2018)</t>
  </si>
  <si>
    <t>BOPP</t>
  </si>
  <si>
    <t>Benso Oil Palm Plantation Ltd</t>
  </si>
  <si>
    <t>Consumer Goods / Agriculture</t>
  </si>
  <si>
    <t>CLYD</t>
  </si>
  <si>
    <t>Clydestone (Ghana) Ltd</t>
  </si>
  <si>
    <t>Technology</t>
  </si>
  <si>
    <t>CMLT</t>
  </si>
  <si>
    <t>Camelot Ghana Ltd</t>
  </si>
  <si>
    <t>Industrials</t>
  </si>
  <si>
    <t>CPC</t>
  </si>
  <si>
    <t>Cocoa Processing Company</t>
  </si>
  <si>
    <t>Consumer Goods</t>
  </si>
  <si>
    <t>FML</t>
  </si>
  <si>
    <t>Fan Milk Ltd</t>
  </si>
  <si>
    <t>GGBL</t>
  </si>
  <si>
    <t>Guinness Ghana Breweries Plc</t>
  </si>
  <si>
    <t>GOIL</t>
  </si>
  <si>
    <t>GOIL PLC</t>
  </si>
  <si>
    <t>Oil &amp; Gas</t>
  </si>
  <si>
    <t>MTNGH</t>
  </si>
  <si>
    <t>MTN Ghana (Scancom PLC)</t>
  </si>
  <si>
    <t>Telecom</t>
  </si>
  <si>
    <t>PBC</t>
  </si>
  <si>
    <t>Produce Buying Company Ltd</t>
  </si>
  <si>
    <t>TOTAL</t>
  </si>
  <si>
    <t>TotalEnergies Marketing Ghana PLC</t>
  </si>
  <si>
    <t>Formerly Total Petroleum Ghana Ltd</t>
  </si>
  <si>
    <t>UNIL</t>
  </si>
  <si>
    <t>Unilever Ghana PLC</t>
  </si>
  <si>
    <t>DIGICUT</t>
  </si>
  <si>
    <t>Digicut Advertising &amp; Production Ltd</t>
  </si>
  <si>
    <t>GAX</t>
  </si>
  <si>
    <t>Consumer Services</t>
  </si>
  <si>
    <t>HORDS</t>
  </si>
  <si>
    <t>Hords Ltd</t>
  </si>
  <si>
    <t>IIL</t>
  </si>
  <si>
    <t>Intravenous Infusions PLC</t>
  </si>
  <si>
    <t>Health Care</t>
  </si>
  <si>
    <t>MMH</t>
  </si>
  <si>
    <t>Meridian-Marshalls Holdings</t>
  </si>
  <si>
    <t>SAMBA</t>
  </si>
  <si>
    <t>Samba Foods Ltd</t>
  </si>
  <si>
    <t>MLC</t>
  </si>
  <si>
    <t>Mechanical Lloyd Plc</t>
  </si>
  <si>
    <t>FY2019–FY2020 (base FY2018)</t>
  </si>
  <si>
    <t>Delisted 2021</t>
  </si>
  <si>
    <t>PZC</t>
  </si>
  <si>
    <t>PZ Cussons Ghana Ltd</t>
  </si>
  <si>
    <t>Delisted Oct 2020</t>
  </si>
  <si>
    <t>DASPHARMA</t>
  </si>
  <si>
    <t>Dannex Ayrton Starwin Plc</t>
  </si>
  <si>
    <t>Health Care / Pharma</t>
  </si>
  <si>
    <t>FY2021–FY2023 (base FY2020)</t>
  </si>
  <si>
    <t>Formed Jan 2020; FY2020 = base year only</t>
  </si>
  <si>
    <t>SWL</t>
  </si>
  <si>
    <t>Sam Wood Ltd</t>
  </si>
  <si>
    <t>Suspended Sept 2020; delisted April 2023</t>
  </si>
  <si>
    <t>AGA</t>
  </si>
  <si>
    <t>AngloGold Ashanti Plc</t>
  </si>
  <si>
    <t>Mining</t>
  </si>
  <si>
    <t>Excluded – Cross-listed multinational</t>
  </si>
  <si>
    <t>–</t>
  </si>
  <si>
    <t>Listed via Ghanaian Depositary Shares; no standalone Ghana financials. Global consolidated USD accounts.</t>
  </si>
  <si>
    <t>TLW</t>
  </si>
  <si>
    <t>Tullow Oil Plc</t>
  </si>
  <si>
    <t>Secondary listing of Tullow Oil plc (primary: LSE). No Ghana-only financials; global consolidated USD accounts.</t>
  </si>
  <si>
    <t>ASG</t>
  </si>
  <si>
    <t>Asante Gold Corporation</t>
  </si>
  <si>
    <t>Incorporated in British Columbia, Canada; primary listing on CSE. No Ghana-only financials; USD accounts.</t>
  </si>
  <si>
    <t>ADB</t>
  </si>
  <si>
    <t>Agricultural Development Bank</t>
  </si>
  <si>
    <t>Banking</t>
  </si>
  <si>
    <t>Financial – Excluded</t>
  </si>
  <si>
    <t>Distinct regulatory/reporting framework</t>
  </si>
  <si>
    <t>CAL</t>
  </si>
  <si>
    <t>CalBank PLC</t>
  </si>
  <si>
    <t>GCB</t>
  </si>
  <si>
    <t>GCB Bank Ltd</t>
  </si>
  <si>
    <t>EGL</t>
  </si>
  <si>
    <t>Enterprise Group PLC</t>
  </si>
  <si>
    <t>Insurance / Holding</t>
  </si>
  <si>
    <t>SIC</t>
  </si>
  <si>
    <t>SIC Insurance Company Ltd</t>
  </si>
  <si>
    <t>Insurance</t>
  </si>
  <si>
    <t>Legend:</t>
  </si>
  <si>
    <t xml:space="preserve">  Non-Financial – included in sample</t>
  </si>
  <si>
    <t xml:space="preserve">  Excluded – cross-listed multinational (no standalone Ghana financials)</t>
  </si>
  <si>
    <t xml:space="preserve">  Financial institution – excluded by design</t>
  </si>
  <si>
    <t>Raw Financial Statement Data – Enter Once Per Firm-Year</t>
  </si>
  <si>
    <t>Blue cells = enter your data. Record the reporting unit (col E) before entering numbers (e.g. GHS ’000 or GHS millions – check the cover page of each annual report). Column U flags if Total Assets ≠ Total Liabilities + Total Equity.</t>
  </si>
  <si>
    <t>Fiscal
Year</t>
  </si>
  <si>
    <t>Key</t>
  </si>
  <si>
    <t>Reporting
Unit</t>
  </si>
  <si>
    <t>Net Sales /
Revenue</t>
  </si>
  <si>
    <t>Cost of Goods
Sold (COGS)</t>
  </si>
  <si>
    <t>Net Trade
Receivables</t>
  </si>
  <si>
    <t>Current
Assets</t>
  </si>
  <si>
    <t>Net PP&amp;E</t>
  </si>
  <si>
    <t>Total
Assets</t>
  </si>
  <si>
    <t>SG&amp;A
Expenses</t>
  </si>
  <si>
    <t>Depreciation &amp;
Amortisation</t>
  </si>
  <si>
    <t>Net Income
(continuing ops)</t>
  </si>
  <si>
    <t>Cash Flow from
Operations</t>
  </si>
  <si>
    <t>Current
Liabilities</t>
  </si>
  <si>
    <t>Long-term
Debt</t>
  </si>
  <si>
    <t>Total
Liabilities</t>
  </si>
  <si>
    <t>Total
Equity</t>
  </si>
  <si>
    <t>Balance Check
(TA−TL−TE)</t>
  </si>
  <si>
    <t xml:space="preserve">  Grey = base year only (needed for prior-year comparison, not itself an M-Score observation)</t>
  </si>
  <si>
    <t xml:space="preserve">  Green = usable M-Score year</t>
  </si>
  <si>
    <t xml:space="preserve">  Blue text = enter your data | Black text = automatic formula, do not edit</t>
  </si>
  <si>
    <t>Internal Helper Sheet – Do Not Edit</t>
  </si>
  <si>
    <t>Pulls current-year (t) and prior-year (t−1) raw data for every usable M-Score row. All cells are formulas.</t>
  </si>
  <si>
    <t>Fiscal Year</t>
  </si>
  <si>
    <t>Current Key</t>
  </si>
  <si>
    <t>Prior Key</t>
  </si>
  <si>
    <t>Sales_t</t>
  </si>
  <si>
    <t>COGS_t</t>
  </si>
  <si>
    <t>Receiv_t</t>
  </si>
  <si>
    <t>CurrAssets_t</t>
  </si>
  <si>
    <t>PPE_t</t>
  </si>
  <si>
    <t>Securities_t</t>
  </si>
  <si>
    <t>TotalAssets_t</t>
  </si>
  <si>
    <t>SGA_t</t>
  </si>
  <si>
    <t>Deprec_t</t>
  </si>
  <si>
    <t>NetIncome_t</t>
  </si>
  <si>
    <t>CFO_t</t>
  </si>
  <si>
    <t>CurrLiab_t</t>
  </si>
  <si>
    <t>LTDebt_t</t>
  </si>
  <si>
    <t>TotalLiab_t</t>
  </si>
  <si>
    <t>TotalEquity_t</t>
  </si>
  <si>
    <t>Sales_t-1</t>
  </si>
  <si>
    <t>COGS_t-1</t>
  </si>
  <si>
    <t>Receiv_t-1</t>
  </si>
  <si>
    <t>CurrAssets_t-1</t>
  </si>
  <si>
    <t>PPE_t-1</t>
  </si>
  <si>
    <t>Securities_t-1</t>
  </si>
  <si>
    <t>TotalAssets_t-1</t>
  </si>
  <si>
    <t>SGA_t-1</t>
  </si>
  <si>
    <t>Deprec_t-1</t>
  </si>
  <si>
    <t>NetIncome_t-1</t>
  </si>
  <si>
    <t>CFO_t-1</t>
  </si>
  <si>
    <t>CurrLiab_t-1</t>
  </si>
  <si>
    <t>LTDebt_t-1</t>
  </si>
  <si>
    <t>TotalLiab_t-1</t>
  </si>
  <si>
    <t>TotalEquity_t-1</t>
  </si>
  <si>
    <t>Beneish M-Score and Financial Ratios by Firm-Year</t>
  </si>
  <si>
    <t>Calculated automatically from 'Raw Data Input'. Do not type values directly into this sheet.</t>
  </si>
  <si>
    <t>DSRI</t>
  </si>
  <si>
    <t>GMI</t>
  </si>
  <si>
    <t>AQI</t>
  </si>
  <si>
    <t>SGI</t>
  </si>
  <si>
    <t>DEPI</t>
  </si>
  <si>
    <t>SGAI</t>
  </si>
  <si>
    <t>TATA</t>
  </si>
  <si>
    <t>LVGI</t>
  </si>
  <si>
    <t>M-Score</t>
  </si>
  <si>
    <t>Classification
(threshold −2.22)</t>
  </si>
  <si>
    <t>ROA</t>
  </si>
  <si>
    <t>Current
Ratio</t>
  </si>
  <si>
    <t>Debt-to-
Equity</t>
  </si>
  <si>
    <t>Asset
Growth</t>
  </si>
  <si>
    <t xml:space="preserve">  Likely Manipulator (M-Score &gt; −2.22)</t>
  </si>
  <si>
    <t xml:space="preserve">  Non-Manipulator (M-Score ≤ −2.22)</t>
  </si>
  <si>
    <t>Beneish M-Score – Variable Definitions</t>
  </si>
  <si>
    <t>Variable</t>
  </si>
  <si>
    <t>Formula</t>
  </si>
  <si>
    <t>Interpretation</t>
  </si>
  <si>
    <t>(Receivablesₜ/Salesₜ)÷(Receivablesₜ₋₁/Salesₜ₋₁)</t>
  </si>
  <si>
    <t>A large increase signals possible revenue inflation through fictitious or premature recognition.</t>
  </si>
  <si>
    <t>[(Salesₜ₋₁−COGSₜ₋₁)/Salesₜ₋₁]÷[(Salesₜ−COGSₜ)/Salesₜ]</t>
  </si>
  <si>
    <t>GMI&gt;1 means margins deteriorated, creating pressure to manipulate.</t>
  </si>
  <si>
    <t>[1−(CurrAssetsₜ+PPEₜ+Securitiesₜ)/TAₜ]÷[1−(CurrAssetsₜ₋₁+PPEₜ₋₁+Securitiesₜ₋₁)/TAₜ₋₁]</t>
  </si>
  <si>
    <t>A rising share of ‘soft’ assets can indicate aggressive accounting.</t>
  </si>
  <si>
    <t>Salesₜ÷Salesₜ₋₁</t>
  </si>
  <si>
    <t>High-growth firms face more pressure to sustain results, a common manipulation trigger.</t>
  </si>
  <si>
    <t>[Deprecₜ₋₁/(PPEₜ₋₁+Deprecₜ₋₁)]÷[Deprecₜ/(PPEₜ+Deprecₜ)]</t>
  </si>
  <si>
    <t>DEPI&gt;1 means the depreciation rate slowed, which can inflate reported income.</t>
  </si>
  <si>
    <t>(SGAₜ/Salesₜ)÷(SGAₜ₋₁/Salesₜ₋₁)</t>
  </si>
  <si>
    <t>A disproportionate rise in admin costs relative to sales is a negative signal.</t>
  </si>
  <si>
    <t>(Net Incomeₜ−CFOₜ)÷TAₜ</t>
  </si>
  <si>
    <t>High accruals relative to cash flow suggest earnings are not well backed by cash.</t>
  </si>
  <si>
    <t>[(CurrLiabₜ+LTDebtₜ)/TAₜ]÷[(CurrLiabₜ₋₁+LTDebtₜ₋₁)/TAₜ₋₁]</t>
  </si>
  <si>
    <t>Rising leverage can create covenant pressure that motivates manipulation.</t>
  </si>
  <si>
    <t>−4.84+0.920·DSRI+0.528·GMI+0.404·AQI+0.892·SGI+0.115·DEPI−0.172·SGAI+4.679·TATA−0.327·LVGI</t>
  </si>
  <si>
    <t>Beneish (1999) 8-variable model.</t>
  </si>
  <si>
    <t>M-Score&gt;−2.22→Likely Manipulator; otherwise Non-Manipulator</t>
  </si>
  <si>
    <t>Threshold as stated in the methodology section.</t>
  </si>
  <si>
    <t>Net Incomeₜ÷Total Assetsₜ</t>
  </si>
  <si>
    <t>Financial ratio 1</t>
  </si>
  <si>
    <t>Current Ratio</t>
  </si>
  <si>
    <t>Current Assetsₜ÷Current Liabilitiesₜ</t>
  </si>
  <si>
    <t>Financial ratio 2</t>
  </si>
  <si>
    <t>Debt-to-Equity</t>
  </si>
  <si>
    <t>Total Liabilitiesₜ÷Total Equityₜ</t>
  </si>
  <si>
    <t>Financial ratio 3</t>
  </si>
  <si>
    <t>Asset Growth</t>
  </si>
  <si>
    <t>(Total Assetsₜ−Total Assetsₜ₋₁)÷Total Assetsₜ₋₁</t>
  </si>
  <si>
    <t>Financial ratio 4</t>
  </si>
  <si>
    <t>Source: Beneish, M. D. (1999). The Detection of Earnings Manipulation. Financial Analysts Journal, 55(5), 24–36.</t>
  </si>
  <si>
    <t>Where to Find Each Input in an Annual Report</t>
  </si>
  <si>
    <t>Use consolidated/Group figures (not Company-only) where both are shown. Check the presentation currency note so units stay consistent. Pull from audited statements, not the Chairman’s Statement.</t>
  </si>
  <si>
    <t>Input</t>
  </si>
  <si>
    <t>Where to Look</t>
  </si>
  <si>
    <t>Common Labels</t>
  </si>
  <si>
    <t>Watch Out For</t>
  </si>
  <si>
    <t>Net Sales / Revenue</t>
  </si>
  <si>
    <t>P&amp;L, top line</t>
  </si>
  <si>
    <t>“Revenue,” “Turnover,” “Revenue from contracts with customers”</t>
  </si>
  <si>
    <t>Should already be net of VAT/returns on the face of the statement.</t>
  </si>
  <si>
    <t>Cost of Goods Sold</t>
  </si>
  <si>
    <t>P&amp;L, just below Revenue</t>
  </si>
  <si>
    <t>“Cost of sales,” “Cost of revenue”</t>
  </si>
  <si>
    <t>If the P&amp;L is by nature rather than by function, there may be no COGS line – check the expense note.</t>
  </si>
  <si>
    <t>Net Trade Receivables</t>
  </si>
  <si>
    <t>Balance sheet; detail in Notes</t>
  </si>
  <si>
    <t>“Trade receivables,” “Trade and other receivables”</t>
  </si>
  <si>
    <t>Use the NET figure (after impairment). Isolate trade receivables only from the breakdown note.</t>
  </si>
  <si>
    <t>Current Assets</t>
  </si>
  <si>
    <t>Balance sheet</t>
  </si>
  <si>
    <t>“Total current assets”</t>
  </si>
  <si>
    <t>Take the subtotal line directly.</t>
  </si>
  <si>
    <t>Balance sheet; PP&amp;E note</t>
  </si>
  <si>
    <t>“Property, plant and equipment”</t>
  </si>
  <si>
    <t>Use net book value (after accumulated depreciation), not the gross/cost figure.</t>
  </si>
  <si>
    <t>Securities / Investments</t>
  </si>
  <si>
    <t>“Investments,” “Financial assets at FVTPL”</t>
  </si>
  <si>
    <t>Most firms will not have this – enter 0. Do not include cash.</t>
  </si>
  <si>
    <t>Total Assets</t>
  </si>
  <si>
    <t>“Total assets”</t>
  </si>
  <si>
    <t>Subtotal line.</t>
  </si>
  <si>
    <t>SG&amp;A Expenses</t>
  </si>
  <si>
    <t>P&amp;L; detail in Notes</t>
  </si>
  <si>
    <t>“Administrative expenses” + “Selling and distribution expenses”</t>
  </si>
  <si>
    <t>If shown as two lines, add them. If combined, use that one line.</t>
  </si>
  <si>
    <t>Depreciation &amp; Amortisation</t>
  </si>
  <si>
    <t>Cash Flow Statement – operating section</t>
  </si>
  <si>
    <t>“Depreciation” / “Depreciation and amortisation” (add-back)</t>
  </si>
  <si>
    <t>Rarely on the P&amp;L face – look in operating activities as a non-cash add-back.</t>
  </si>
  <si>
    <t>Net Income</t>
  </si>
  <si>
    <t>P&amp;L, bottom line</t>
  </si>
  <si>
    <t>“Profit for the year”</t>
  </si>
  <si>
    <t>Use continuing operations profit if discontinued operations are reported separately.</t>
  </si>
  <si>
    <t>Cash Flow from Operations</t>
  </si>
  <si>
    <t>Cash Flow Statement</t>
  </si>
  <si>
    <t>“Net cash generated from / used in operating activities”</t>
  </si>
  <si>
    <t>Take the subtotal AFTER working capital changes and tax paid.</t>
  </si>
  <si>
    <t>Current Liabilities</t>
  </si>
  <si>
    <t>“Total current liabilities”</t>
  </si>
  <si>
    <t>Long-term Debt</t>
  </si>
  <si>
    <t>Balance sheet; Borrowings note</t>
  </si>
  <si>
    <t>“Non-current borrowings,” “Long-term loans”</t>
  </si>
  <si>
    <t>Interest-bearing debt only. Exclude deferred tax, employee benefits. Enter 0 if none.</t>
  </si>
  <si>
    <t>Total Liabilities</t>
  </si>
  <si>
    <t>“Total liabilities”</t>
  </si>
  <si>
    <t>Total Equity</t>
  </si>
  <si>
    <t>“Total equity,” “Shareholders’ funds”</t>
  </si>
  <si>
    <t>Decide once (total vs parent-only equity) and stay consistent across the whole sample.</t>
  </si>
  <si>
    <t>GHS’000</t>
  </si>
  <si>
    <t>GHS</t>
  </si>
  <si>
    <t>USD</t>
  </si>
  <si>
    <t>Securities /
Long-term Invest.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</si>
</sst>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\(#,##0\);\-"/>
    <numFmt numFmtId="165" formatCode="0.000"/>
    <numFmt numFmtId="166" formatCode="0.0%"/>
    <numFmt numFmtId="167" formatCode="0.00\x"/>
  </numFmts>
  <fonts count="9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EAEAEA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EAEAEA"/>
      </patternFill>
    </fill>
    <fill>
      <patternFill patternType="solid">
        <fgColor rgb="FFEAEAEA"/>
        <bgColor rgb="FFE2EFDA"/>
      </patternFill>
    </fill>
    <fill>
      <patternFill patternType="solid">
        <fgColor rgb="FF595959"/>
        <bgColor rgb="FF555555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FF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FF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 applyAlignment="1"/>
    <xf numFmtId="0" fontId="0" fillId="0" borderId="0" xfId="0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/>
    </xf>
    <xf numFmtId="0" fontId="5" fillId="0" borderId="0" xfId="0" applyFont="1" applyAlignment="1"/>
    <xf numFmtId="0" fontId="4" fillId="3" borderId="0" xfId="0" applyFont="1" applyFill="1" applyAlignment="1"/>
    <xf numFmtId="0" fontId="4" fillId="4" borderId="0" xfId="0" applyFont="1" applyFill="1" applyAlignment="1"/>
    <xf numFmtId="0" fontId="4" fillId="5" borderId="0" xfId="0" applyFont="1" applyFill="1" applyAlignment="1"/>
    <xf numFmtId="0" fontId="4" fillId="6" borderId="1" xfId="0" applyFont="1" applyFill="1" applyBorder="1" applyAlignment="1"/>
    <xf numFmtId="1" fontId="4" fillId="6" borderId="1" xfId="0" applyNumberFormat="1" applyFont="1" applyFill="1" applyBorder="1" applyAlignment="1"/>
    <xf numFmtId="0" fontId="6" fillId="6" borderId="1" xfId="0" applyFont="1" applyFill="1" applyBorder="1" applyAlignment="1"/>
    <xf numFmtId="49" fontId="7" fillId="6" borderId="1" xfId="0" applyNumberFormat="1" applyFont="1" applyFill="1" applyBorder="1" applyAlignment="1"/>
    <xf numFmtId="164" fontId="7" fillId="6" borderId="1" xfId="0" applyNumberFormat="1" applyFont="1" applyFill="1" applyBorder="1" applyAlignment="1"/>
    <xf numFmtId="164" fontId="6" fillId="6" borderId="1" xfId="0" applyNumberFormat="1" applyFont="1" applyFill="1" applyBorder="1" applyAlignment="1"/>
    <xf numFmtId="0" fontId="4" fillId="3" borderId="1" xfId="0" applyFont="1" applyFill="1" applyBorder="1" applyAlignment="1"/>
    <xf numFmtId="1" fontId="4" fillId="3" borderId="1" xfId="0" applyNumberFormat="1" applyFont="1" applyFill="1" applyBorder="1" applyAlignment="1"/>
    <xf numFmtId="0" fontId="6" fillId="3" borderId="1" xfId="0" applyFont="1" applyFill="1" applyBorder="1" applyAlignment="1"/>
    <xf numFmtId="49" fontId="7" fillId="3" borderId="1" xfId="0" applyNumberFormat="1" applyFont="1" applyFill="1" applyBorder="1" applyAlignment="1"/>
    <xf numFmtId="164" fontId="7" fillId="3" borderId="1" xfId="0" applyNumberFormat="1" applyFont="1" applyFill="1" applyBorder="1" applyAlignment="1"/>
    <xf numFmtId="0" fontId="4" fillId="6" borderId="0" xfId="0" applyFont="1" applyFill="1" applyAlignment="1"/>
    <xf numFmtId="0" fontId="4" fillId="0" borderId="0" xfId="0" applyFont="1" applyAlignment="1"/>
    <xf numFmtId="0" fontId="3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1" fontId="4" fillId="0" borderId="1" xfId="0" applyNumberFormat="1" applyFont="1" applyBorder="1" applyAlignment="1"/>
    <xf numFmtId="0" fontId="6" fillId="0" borderId="1" xfId="0" applyFont="1" applyBorder="1" applyAlignment="1"/>
    <xf numFmtId="164" fontId="8" fillId="0" borderId="1" xfId="0" applyNumberFormat="1" applyFont="1" applyBorder="1" applyAlignment="1"/>
    <xf numFmtId="165" fontId="6" fillId="0" borderId="1" xfId="0" applyNumberFormat="1" applyFont="1" applyBorder="1" applyAlignment="1"/>
    <xf numFmtId="2" fontId="6" fillId="0" borderId="1" xfId="0" applyNumberFormat="1" applyFont="1" applyBorder="1" applyAlignment="1"/>
    <xf numFmtId="166" fontId="6" fillId="0" borderId="1" xfId="0" applyNumberFormat="1" applyFont="1" applyBorder="1" applyAlignment="1"/>
    <xf numFmtId="167" fontId="6" fillId="0" borderId="1" xfId="0" applyNumberFormat="1" applyFont="1" applyBorder="1" applyAlignment="1"/>
    <xf numFmtId="165" fontId="6" fillId="0" borderId="0" xfId="0" applyNumberFormat="1" applyFont="1" applyAlignment="1"/>
    <xf numFmtId="0" fontId="4" fillId="0" borderId="1" xfId="0" applyFont="1" applyBorder="1" applyAlignment="1">
      <alignment vertical="top" wrapText="1"/>
    </xf>
    <xf numFmtId="164" fontId="7" fillId="6" borderId="2" xfId="0" applyNumberFormat="1" applyFont="1" applyFill="1" applyBorder="1" applyAlignment="1"/>
    <xf numFmtId="0" fontId="4" fillId="6" borderId="2" xfId="0" applyFont="1" applyFill="1" applyBorder="1" applyAlignment="1"/>
    <xf numFmtId="1" fontId="4" fillId="6" borderId="2" xfId="0" applyNumberFormat="1" applyFont="1" applyFill="1" applyBorder="1" applyAlignment="1"/>
    <xf numFmtId="0" fontId="6" fillId="6" borderId="2" xfId="0" applyFont="1" applyFill="1" applyBorder="1" applyAlignment="1"/>
    <xf numFmtId="0" fontId="4" fillId="6" borderId="3" xfId="0" applyFont="1" applyFill="1" applyBorder="1" applyAlignment="1"/>
    <xf numFmtId="1" fontId="4" fillId="6" borderId="3" xfId="0" applyNumberFormat="1" applyFont="1" applyFill="1" applyBorder="1" applyAlignment="1"/>
    <xf numFmtId="0" fontId="6" fillId="6" borderId="3" xfId="0" applyFont="1" applyFill="1" applyBorder="1" applyAlignment="1"/>
    <xf numFmtId="49" fontId="7" fillId="6" borderId="3" xfId="0" applyNumberFormat="1" applyFont="1" applyFill="1" applyBorder="1" applyAlignment="1"/>
    <xf numFmtId="164" fontId="7" fillId="6" borderId="3" xfId="0" applyNumberFormat="1" applyFont="1" applyFill="1" applyBorder="1" applyAlignment="1"/>
    <xf numFmtId="0" fontId="4" fillId="3" borderId="4" xfId="0" applyFont="1" applyFill="1" applyBorder="1" applyAlignment="1"/>
    <xf numFmtId="1" fontId="4" fillId="3" borderId="4" xfId="0" applyNumberFormat="1" applyFont="1" applyFill="1" applyBorder="1" applyAlignment="1"/>
    <xf numFmtId="0" fontId="6" fillId="3" borderId="4" xfId="0" applyFont="1" applyFill="1" applyBorder="1" applyAlignment="1"/>
    <xf numFmtId="49" fontId="7" fillId="3" borderId="4" xfId="0" applyNumberFormat="1" applyFont="1" applyFill="1" applyBorder="1" applyAlignment="1"/>
    <xf numFmtId="164" fontId="7" fillId="3" borderId="4" xfId="0" applyNumberFormat="1" applyFont="1" applyFill="1" applyBorder="1" applyAlignment="1"/>
    <xf numFmtId="0" fontId="4" fillId="3" borderId="5" xfId="0" applyFont="1" applyFill="1" applyBorder="1" applyAlignment="1"/>
    <xf numFmtId="1" fontId="4" fillId="3" borderId="5" xfId="0" applyNumberFormat="1" applyFont="1" applyFill="1" applyBorder="1" applyAlignment="1"/>
    <xf numFmtId="0" fontId="6" fillId="3" borderId="5" xfId="0" applyFont="1" applyFill="1" applyBorder="1" applyAlignment="1"/>
    <xf numFmtId="49" fontId="7" fillId="3" borderId="5" xfId="0" applyNumberFormat="1" applyFont="1" applyFill="1" applyBorder="1" applyAlignment="1"/>
    <xf numFmtId="164" fontId="7" fillId="3" borderId="5" xfId="0" applyNumberFormat="1" applyFont="1" applyFill="1" applyBorder="1" applyAlignment="1"/>
    <xf numFmtId="0" fontId="4" fillId="6" borderId="6" xfId="0" applyFont="1" applyFill="1" applyBorder="1" applyAlignment="1"/>
    <xf numFmtId="1" fontId="4" fillId="6" borderId="6" xfId="0" applyNumberFormat="1" applyFont="1" applyFill="1" applyBorder="1" applyAlignment="1"/>
    <xf numFmtId="0" fontId="6" fillId="6" borderId="6" xfId="0" applyFont="1" applyFill="1" applyBorder="1" applyAlignment="1"/>
    <xf numFmtId="49" fontId="7" fillId="6" borderId="6" xfId="0" applyNumberFormat="1" applyFont="1" applyFill="1" applyBorder="1" applyAlignment="1"/>
    <xf numFmtId="164" fontId="7" fillId="6" borderId="6" xfId="0" applyNumberFormat="1" applyFont="1" applyFill="1" applyBorder="1" applyAlignment="1"/>
    <xf numFmtId="164" fontId="7" fillId="3" borderId="7" xfId="0" applyNumberFormat="1" applyFont="1" applyFill="1" applyBorder="1" applyAlignment="1"/>
    <xf numFmtId="164" fontId="6" fillId="6" borderId="2" xfId="0" applyNumberFormat="1" applyFont="1" applyFill="1" applyBorder="1" applyAlignment="1"/>
    <xf numFmtId="164" fontId="6" fillId="6" borderId="5" xfId="0" applyNumberFormat="1" applyFont="1" applyFill="1" applyBorder="1" applyAlignment="1"/>
    <xf numFmtId="164" fontId="6" fillId="6" borderId="6" xfId="0" applyNumberFormat="1" applyFont="1" applyFill="1" applyBorder="1" applyAlignment="1"/>
    <xf numFmtId="164" fontId="6" fillId="6" borderId="4" xfId="0" applyNumberFormat="1" applyFont="1" applyFill="1" applyBorder="1" applyAlignment="1"/>
    <xf numFmtId="0" fontId="4" fillId="0" borderId="2" xfId="0" applyFont="1" applyBorder="1" applyAlignment="1"/>
    <xf numFmtId="1" fontId="4" fillId="0" borderId="2" xfId="0" applyNumberFormat="1" applyFont="1" applyBorder="1" applyAlignment="1"/>
    <xf numFmtId="0" fontId="6" fillId="0" borderId="2" xfId="0" applyFont="1" applyBorder="1" applyAlignment="1"/>
    <xf numFmtId="164" fontId="8" fillId="0" borderId="2" xfId="0" applyNumberFormat="1" applyFont="1" applyBorder="1" applyAlignment="1"/>
    <xf numFmtId="0" fontId="4" fillId="0" borderId="4" xfId="0" applyFont="1" applyBorder="1" applyAlignment="1"/>
    <xf numFmtId="1" fontId="4" fillId="0" borderId="4" xfId="0" applyNumberFormat="1" applyFont="1" applyBorder="1" applyAlignment="1"/>
    <xf numFmtId="0" fontId="6" fillId="0" borderId="4" xfId="0" applyFont="1" applyBorder="1" applyAlignment="1"/>
    <xf numFmtId="164" fontId="8" fillId="0" borderId="4" xfId="0" applyNumberFormat="1" applyFont="1" applyBorder="1" applyAlignment="1"/>
    <xf numFmtId="164" fontId="6" fillId="6" borderId="3" xfId="0" applyNumberFormat="1" applyFont="1" applyFill="1" applyBorder="1" applyAlignment="1"/>
    <xf numFmtId="49" fontId="7" fillId="3" borderId="2" xfId="0" applyNumberFormat="1" applyFont="1" applyFill="1" applyBorder="1" applyAlignment="1"/>
    <xf numFmtId="49" fontId="7" fillId="3" borderId="3" xfId="0" applyNumberFormat="1" applyFont="1" applyFill="1" applyBorder="1" applyAlignment="1"/>
    <xf numFmtId="0" fontId="4" fillId="0" borderId="3" xfId="0" applyFont="1" applyBorder="1" applyAlignment="1"/>
    <xf numFmtId="1" fontId="4" fillId="0" borderId="3" xfId="0" applyNumberFormat="1" applyFont="1" applyBorder="1" applyAlignment="1"/>
    <xf numFmtId="0" fontId="6" fillId="0" borderId="3" xfId="0" applyFont="1" applyBorder="1" applyAlignment="1"/>
    <xf numFmtId="164" fontId="8" fillId="0" borderId="3" xfId="0" applyNumberFormat="1" applyFont="1" applyBorder="1" applyAlignment="1"/>
    <xf numFmtId="0" fontId="4" fillId="0" borderId="5" xfId="0" applyFont="1" applyBorder="1" applyAlignment="1"/>
    <xf numFmtId="1" fontId="4" fillId="0" borderId="5" xfId="0" applyNumberFormat="1" applyFont="1" applyBorder="1" applyAlignment="1"/>
    <xf numFmtId="0" fontId="6" fillId="0" borderId="5" xfId="0" applyFont="1" applyBorder="1" applyAlignment="1"/>
    <xf numFmtId="164" fontId="8" fillId="0" borderId="5" xfId="0" applyNumberFormat="1" applyFont="1" applyBorder="1" applyAlignment="1"/>
    <xf numFmtId="0" fontId="4" fillId="0" borderId="6" xfId="0" applyFont="1" applyBorder="1" applyAlignment="1"/>
    <xf numFmtId="1" fontId="4" fillId="0" borderId="6" xfId="0" applyNumberFormat="1" applyFont="1" applyBorder="1" applyAlignment="1"/>
    <xf numFmtId="0" fontId="6" fillId="0" borderId="6" xfId="0" applyFont="1" applyBorder="1" applyAlignment="1"/>
    <xf numFmtId="164" fontId="8" fillId="0" borderId="6" xfId="0" applyNumberFormat="1" applyFont="1" applyBorder="1" applyAlignment="1"/>
    <xf numFmtId="165" fontId="6" fillId="0" borderId="2" xfId="0" applyNumberFormat="1" applyFont="1" applyBorder="1" applyAlignment="1"/>
    <xf numFmtId="2" fontId="6" fillId="0" borderId="2" xfId="0" applyNumberFormat="1" applyFont="1" applyBorder="1" applyAlignment="1"/>
    <xf numFmtId="166" fontId="6" fillId="0" borderId="2" xfId="0" applyNumberFormat="1" applyFont="1" applyBorder="1" applyAlignment="1"/>
    <xf numFmtId="167" fontId="6" fillId="0" borderId="2" xfId="0" applyNumberFormat="1" applyFont="1" applyBorder="1" applyAlignment="1"/>
    <xf numFmtId="165" fontId="6" fillId="0" borderId="4" xfId="0" applyNumberFormat="1" applyFont="1" applyBorder="1" applyAlignment="1"/>
    <xf numFmtId="2" fontId="6" fillId="0" borderId="4" xfId="0" applyNumberFormat="1" applyFont="1" applyBorder="1" applyAlignment="1"/>
    <xf numFmtId="166" fontId="6" fillId="0" borderId="4" xfId="0" applyNumberFormat="1" applyFont="1" applyBorder="1" applyAlignment="1"/>
    <xf numFmtId="167" fontId="6" fillId="0" borderId="4" xfId="0" applyNumberFormat="1" applyFont="1" applyBorder="1" applyAlignment="1"/>
    <xf numFmtId="165" fontId="6" fillId="0" borderId="3" xfId="0" applyNumberFormat="1" applyFont="1" applyBorder="1" applyAlignment="1"/>
    <xf numFmtId="2" fontId="6" fillId="0" borderId="3" xfId="0" applyNumberFormat="1" applyFont="1" applyBorder="1" applyAlignment="1"/>
    <xf numFmtId="166" fontId="6" fillId="0" borderId="3" xfId="0" applyNumberFormat="1" applyFont="1" applyBorder="1" applyAlignment="1"/>
    <xf numFmtId="167" fontId="6" fillId="0" borderId="3" xfId="0" applyNumberFormat="1" applyFont="1" applyBorder="1" applyAlignment="1"/>
    <xf numFmtId="165" fontId="6" fillId="0" borderId="5" xfId="0" applyNumberFormat="1" applyFont="1" applyBorder="1" applyAlignment="1"/>
    <xf numFmtId="2" fontId="6" fillId="0" borderId="5" xfId="0" applyNumberFormat="1" applyFont="1" applyBorder="1" applyAlignment="1"/>
    <xf numFmtId="166" fontId="6" fillId="0" borderId="5" xfId="0" applyNumberFormat="1" applyFont="1" applyBorder="1" applyAlignment="1"/>
    <xf numFmtId="167" fontId="6" fillId="0" borderId="5" xfId="0" applyNumberFormat="1" applyFont="1" applyBorder="1" applyAlignment="1"/>
    <xf numFmtId="165" fontId="6" fillId="0" borderId="6" xfId="0" applyNumberFormat="1" applyFont="1" applyBorder="1" applyAlignment="1"/>
    <xf numFmtId="2" fontId="6" fillId="0" borderId="6" xfId="0" applyNumberFormat="1" applyFont="1" applyBorder="1" applyAlignment="1"/>
    <xf numFmtId="166" fontId="6" fillId="0" borderId="6" xfId="0" applyNumberFormat="1" applyFont="1" applyBorder="1" applyAlignment="1"/>
    <xf numFmtId="167" fontId="6" fillId="0" borderId="6" xfId="0" applyNumberFormat="1" applyFont="1" applyBorder="1" applyAlignment="1"/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3">
    <dxf>
      <fill>
        <patternFill>
          <bgColor rgb="FFE2EFDA"/>
        </patternFill>
      </fill>
    </dxf>
    <dxf>
      <fill>
        <patternFill>
          <bgColor rgb="FFFCE4E4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EA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E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zoomScaleNormal="100" workbookViewId="0">
      <pane ySplit="4" topLeftCell="A17" activePane="bottomLeft" state="frozen"/>
      <selection pane="bottomLeft" activeCell="E35" sqref="E35"/>
    </sheetView>
  </sheetViews>
  <sheetFormatPr defaultColWidth="8.6640625" defaultRowHeight="14.4" x14ac:dyDescent="0.3"/>
  <cols>
    <col min="1" max="1" width="10" style="1" customWidth="1"/>
    <col min="2" max="2" width="30" style="1" customWidth="1"/>
    <col min="3" max="3" width="8" style="1" customWidth="1"/>
    <col min="4" max="5" width="22" style="1" customWidth="1"/>
    <col min="6" max="6" width="12" style="1" customWidth="1"/>
    <col min="7" max="7" width="20" style="1" customWidth="1"/>
    <col min="8" max="8" width="50" style="1" customWidth="1"/>
  </cols>
  <sheetData>
    <row r="1" spans="1:8" ht="15.75" customHeight="1" x14ac:dyDescent="0.3">
      <c r="A1" s="111" t="s">
        <v>0</v>
      </c>
      <c r="B1" s="110"/>
      <c r="C1" s="110"/>
      <c r="D1" s="110"/>
      <c r="E1" s="110"/>
      <c r="F1" s="110"/>
      <c r="G1" s="110"/>
      <c r="H1" s="110"/>
    </row>
    <row r="2" spans="1:8" ht="15" customHeight="1" x14ac:dyDescent="0.3">
      <c r="A2" s="109" t="s">
        <v>1</v>
      </c>
      <c r="B2" s="110"/>
      <c r="C2" s="110"/>
      <c r="D2" s="110"/>
      <c r="E2" s="110"/>
      <c r="F2" s="110"/>
      <c r="G2" s="110"/>
      <c r="H2" s="110"/>
    </row>
    <row r="4" spans="1:8" ht="23.2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15" customHeight="1" x14ac:dyDescent="0.3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5</v>
      </c>
      <c r="G5" s="4" t="s">
        <v>15</v>
      </c>
      <c r="H5" s="5"/>
    </row>
    <row r="6" spans="1:8" ht="15" customHeight="1" x14ac:dyDescent="0.3">
      <c r="A6" s="4" t="s">
        <v>16</v>
      </c>
      <c r="B6" s="4" t="s">
        <v>17</v>
      </c>
      <c r="C6" s="4" t="s">
        <v>12</v>
      </c>
      <c r="D6" s="4" t="s">
        <v>18</v>
      </c>
      <c r="E6" s="4" t="s">
        <v>14</v>
      </c>
      <c r="F6" s="4">
        <v>5</v>
      </c>
      <c r="G6" s="4" t="s">
        <v>15</v>
      </c>
      <c r="H6" s="5"/>
    </row>
    <row r="7" spans="1:8" ht="15" customHeight="1" x14ac:dyDescent="0.3">
      <c r="A7" s="4" t="s">
        <v>19</v>
      </c>
      <c r="B7" s="4" t="s">
        <v>20</v>
      </c>
      <c r="C7" s="4" t="s">
        <v>12</v>
      </c>
      <c r="D7" s="4" t="s">
        <v>21</v>
      </c>
      <c r="E7" s="4" t="s">
        <v>14</v>
      </c>
      <c r="F7" s="4">
        <v>5</v>
      </c>
      <c r="G7" s="4" t="s">
        <v>15</v>
      </c>
      <c r="H7" s="5"/>
    </row>
    <row r="8" spans="1:8" ht="15" customHeight="1" x14ac:dyDescent="0.3">
      <c r="A8" s="4" t="s">
        <v>22</v>
      </c>
      <c r="B8" s="4" t="s">
        <v>23</v>
      </c>
      <c r="C8" s="4" t="s">
        <v>12</v>
      </c>
      <c r="D8" s="4" t="s">
        <v>24</v>
      </c>
      <c r="E8" s="4" t="s">
        <v>14</v>
      </c>
      <c r="F8" s="4">
        <v>5</v>
      </c>
      <c r="G8" s="4" t="s">
        <v>15</v>
      </c>
      <c r="H8" s="5"/>
    </row>
    <row r="9" spans="1:8" ht="15" customHeight="1" x14ac:dyDescent="0.3">
      <c r="A9" s="4" t="s">
        <v>25</v>
      </c>
      <c r="B9" s="4" t="s">
        <v>26</v>
      </c>
      <c r="C9" s="4" t="s">
        <v>12</v>
      </c>
      <c r="D9" s="4" t="s">
        <v>27</v>
      </c>
      <c r="E9" s="4" t="s">
        <v>14</v>
      </c>
      <c r="F9" s="4">
        <v>5</v>
      </c>
      <c r="G9" s="4" t="s">
        <v>15</v>
      </c>
      <c r="H9" s="5"/>
    </row>
    <row r="10" spans="1:8" ht="15" customHeight="1" x14ac:dyDescent="0.3">
      <c r="A10" s="4" t="s">
        <v>28</v>
      </c>
      <c r="B10" s="4" t="s">
        <v>29</v>
      </c>
      <c r="C10" s="4" t="s">
        <v>12</v>
      </c>
      <c r="D10" s="4" t="s">
        <v>27</v>
      </c>
      <c r="E10" s="4" t="s">
        <v>14</v>
      </c>
      <c r="F10" s="4">
        <v>5</v>
      </c>
      <c r="G10" s="4" t="s">
        <v>15</v>
      </c>
      <c r="H10" s="5"/>
    </row>
    <row r="11" spans="1:8" ht="15" customHeight="1" x14ac:dyDescent="0.3">
      <c r="A11" s="4" t="s">
        <v>30</v>
      </c>
      <c r="B11" s="4" t="s">
        <v>31</v>
      </c>
      <c r="C11" s="4" t="s">
        <v>12</v>
      </c>
      <c r="D11" s="4" t="s">
        <v>27</v>
      </c>
      <c r="E11" s="4" t="s">
        <v>14</v>
      </c>
      <c r="F11" s="4">
        <v>5</v>
      </c>
      <c r="G11" s="4" t="s">
        <v>15</v>
      </c>
      <c r="H11" s="5"/>
    </row>
    <row r="12" spans="1:8" ht="15" customHeight="1" x14ac:dyDescent="0.3">
      <c r="A12" s="4" t="s">
        <v>32</v>
      </c>
      <c r="B12" s="4" t="s">
        <v>33</v>
      </c>
      <c r="C12" s="4" t="s">
        <v>12</v>
      </c>
      <c r="D12" s="4" t="s">
        <v>34</v>
      </c>
      <c r="E12" s="4" t="s">
        <v>14</v>
      </c>
      <c r="F12" s="4">
        <v>5</v>
      </c>
      <c r="G12" s="4" t="s">
        <v>15</v>
      </c>
      <c r="H12" s="5"/>
    </row>
    <row r="13" spans="1:8" ht="15" customHeight="1" x14ac:dyDescent="0.3">
      <c r="A13" s="4" t="s">
        <v>35</v>
      </c>
      <c r="B13" s="4" t="s">
        <v>36</v>
      </c>
      <c r="C13" s="4" t="s">
        <v>12</v>
      </c>
      <c r="D13" s="4" t="s">
        <v>37</v>
      </c>
      <c r="E13" s="4" t="s">
        <v>14</v>
      </c>
      <c r="F13" s="4">
        <v>5</v>
      </c>
      <c r="G13" s="4" t="s">
        <v>15</v>
      </c>
      <c r="H13" s="5"/>
    </row>
    <row r="14" spans="1:8" ht="15" customHeight="1" x14ac:dyDescent="0.3">
      <c r="A14" s="4" t="s">
        <v>38</v>
      </c>
      <c r="B14" s="4" t="s">
        <v>39</v>
      </c>
      <c r="C14" s="4" t="s">
        <v>12</v>
      </c>
      <c r="D14" s="4" t="s">
        <v>18</v>
      </c>
      <c r="E14" s="4" t="s">
        <v>14</v>
      </c>
      <c r="F14" s="4">
        <v>5</v>
      </c>
      <c r="G14" s="4" t="s">
        <v>15</v>
      </c>
      <c r="H14" s="5"/>
    </row>
    <row r="15" spans="1:8" ht="15" customHeight="1" x14ac:dyDescent="0.3">
      <c r="A15" s="4" t="s">
        <v>40</v>
      </c>
      <c r="B15" s="4" t="s">
        <v>41</v>
      </c>
      <c r="C15" s="4" t="s">
        <v>12</v>
      </c>
      <c r="D15" s="4" t="s">
        <v>34</v>
      </c>
      <c r="E15" s="4" t="s">
        <v>14</v>
      </c>
      <c r="F15" s="4">
        <v>5</v>
      </c>
      <c r="G15" s="4" t="s">
        <v>15</v>
      </c>
      <c r="H15" s="5" t="s">
        <v>42</v>
      </c>
    </row>
    <row r="16" spans="1:8" ht="15" customHeight="1" x14ac:dyDescent="0.3">
      <c r="A16" s="4" t="s">
        <v>43</v>
      </c>
      <c r="B16" s="4" t="s">
        <v>44</v>
      </c>
      <c r="C16" s="4" t="s">
        <v>12</v>
      </c>
      <c r="D16" s="4" t="s">
        <v>27</v>
      </c>
      <c r="E16" s="4" t="s">
        <v>14</v>
      </c>
      <c r="F16" s="4">
        <v>5</v>
      </c>
      <c r="G16" s="4" t="s">
        <v>15</v>
      </c>
      <c r="H16" s="5"/>
    </row>
    <row r="17" spans="1:8" ht="15" customHeight="1" x14ac:dyDescent="0.3">
      <c r="A17" s="4" t="s">
        <v>45</v>
      </c>
      <c r="B17" s="4" t="s">
        <v>46</v>
      </c>
      <c r="C17" s="4" t="s">
        <v>47</v>
      </c>
      <c r="D17" s="4" t="s">
        <v>48</v>
      </c>
      <c r="E17" s="4" t="s">
        <v>14</v>
      </c>
      <c r="F17" s="4">
        <v>5</v>
      </c>
      <c r="G17" s="4" t="s">
        <v>15</v>
      </c>
      <c r="H17" s="5"/>
    </row>
    <row r="18" spans="1:8" ht="15" customHeight="1" x14ac:dyDescent="0.3">
      <c r="A18" s="4" t="s">
        <v>49</v>
      </c>
      <c r="B18" s="4" t="s">
        <v>50</v>
      </c>
      <c r="C18" s="4" t="s">
        <v>47</v>
      </c>
      <c r="D18" s="4" t="s">
        <v>27</v>
      </c>
      <c r="E18" s="4" t="s">
        <v>14</v>
      </c>
      <c r="F18" s="4">
        <v>5</v>
      </c>
      <c r="G18" s="4" t="s">
        <v>15</v>
      </c>
      <c r="H18" s="5"/>
    </row>
    <row r="19" spans="1:8" ht="15" customHeight="1" x14ac:dyDescent="0.3">
      <c r="A19" s="4" t="s">
        <v>51</v>
      </c>
      <c r="B19" s="4" t="s">
        <v>52</v>
      </c>
      <c r="C19" s="4" t="s">
        <v>47</v>
      </c>
      <c r="D19" s="4" t="s">
        <v>53</v>
      </c>
      <c r="E19" s="4" t="s">
        <v>14</v>
      </c>
      <c r="F19" s="4">
        <v>5</v>
      </c>
      <c r="G19" s="4" t="s">
        <v>15</v>
      </c>
      <c r="H19" s="5"/>
    </row>
    <row r="20" spans="1:8" ht="15" customHeight="1" x14ac:dyDescent="0.3">
      <c r="A20" s="4" t="s">
        <v>54</v>
      </c>
      <c r="B20" s="4" t="s">
        <v>55</v>
      </c>
      <c r="C20" s="4" t="s">
        <v>47</v>
      </c>
      <c r="D20" s="4" t="s">
        <v>48</v>
      </c>
      <c r="E20" s="4" t="s">
        <v>14</v>
      </c>
      <c r="F20" s="4">
        <v>5</v>
      </c>
      <c r="G20" s="4" t="s">
        <v>15</v>
      </c>
      <c r="H20" s="5"/>
    </row>
    <row r="21" spans="1:8" ht="15" customHeight="1" x14ac:dyDescent="0.3">
      <c r="A21" s="4" t="s">
        <v>56</v>
      </c>
      <c r="B21" s="4" t="s">
        <v>57</v>
      </c>
      <c r="C21" s="4" t="s">
        <v>47</v>
      </c>
      <c r="D21" s="4" t="s">
        <v>27</v>
      </c>
      <c r="E21" s="4" t="s">
        <v>14</v>
      </c>
      <c r="F21" s="4">
        <v>5</v>
      </c>
      <c r="G21" s="4" t="s">
        <v>15</v>
      </c>
      <c r="H21" s="5"/>
    </row>
    <row r="22" spans="1:8" ht="15" customHeight="1" x14ac:dyDescent="0.3">
      <c r="A22" s="4" t="s">
        <v>58</v>
      </c>
      <c r="B22" s="4" t="s">
        <v>59</v>
      </c>
      <c r="C22" s="4" t="s">
        <v>12</v>
      </c>
      <c r="D22" s="4" t="s">
        <v>24</v>
      </c>
      <c r="E22" s="4" t="s">
        <v>14</v>
      </c>
      <c r="F22" s="4">
        <v>2</v>
      </c>
      <c r="G22" s="4" t="s">
        <v>60</v>
      </c>
      <c r="H22" s="5" t="s">
        <v>61</v>
      </c>
    </row>
    <row r="23" spans="1:8" ht="15" customHeight="1" x14ac:dyDescent="0.3">
      <c r="A23" s="4" t="s">
        <v>62</v>
      </c>
      <c r="B23" s="4" t="s">
        <v>63</v>
      </c>
      <c r="C23" s="4" t="s">
        <v>12</v>
      </c>
      <c r="D23" s="4" t="s">
        <v>27</v>
      </c>
      <c r="E23" s="4" t="s">
        <v>14</v>
      </c>
      <c r="F23" s="4">
        <v>2</v>
      </c>
      <c r="G23" s="4" t="s">
        <v>60</v>
      </c>
      <c r="H23" s="5" t="s">
        <v>64</v>
      </c>
    </row>
    <row r="24" spans="1:8" ht="15" customHeight="1" x14ac:dyDescent="0.3">
      <c r="A24" s="4" t="s">
        <v>65</v>
      </c>
      <c r="B24" s="4" t="s">
        <v>66</v>
      </c>
      <c r="C24" s="4" t="s">
        <v>12</v>
      </c>
      <c r="D24" s="4" t="s">
        <v>67</v>
      </c>
      <c r="E24" s="4" t="s">
        <v>14</v>
      </c>
      <c r="F24" s="4">
        <v>3</v>
      </c>
      <c r="G24" s="4" t="s">
        <v>68</v>
      </c>
      <c r="H24" s="5" t="s">
        <v>69</v>
      </c>
    </row>
    <row r="25" spans="1:8" ht="15" customHeight="1" x14ac:dyDescent="0.3">
      <c r="A25" s="4" t="s">
        <v>70</v>
      </c>
      <c r="B25" s="4" t="s">
        <v>71</v>
      </c>
      <c r="C25" s="4" t="s">
        <v>12</v>
      </c>
      <c r="D25" s="4" t="s">
        <v>48</v>
      </c>
      <c r="E25" s="4" t="s">
        <v>14</v>
      </c>
      <c r="F25" s="4">
        <v>2</v>
      </c>
      <c r="G25" s="4" t="s">
        <v>60</v>
      </c>
      <c r="H25" s="5" t="s">
        <v>72</v>
      </c>
    </row>
    <row r="26" spans="1:8" ht="23.25" customHeight="1" x14ac:dyDescent="0.3">
      <c r="A26" s="6" t="s">
        <v>73</v>
      </c>
      <c r="B26" s="6" t="s">
        <v>74</v>
      </c>
      <c r="C26" s="6" t="s">
        <v>12</v>
      </c>
      <c r="D26" s="6" t="s">
        <v>75</v>
      </c>
      <c r="E26" s="6" t="s">
        <v>76</v>
      </c>
      <c r="F26" s="6" t="s">
        <v>77</v>
      </c>
      <c r="G26" s="6" t="s">
        <v>77</v>
      </c>
      <c r="H26" s="7" t="s">
        <v>78</v>
      </c>
    </row>
    <row r="27" spans="1:8" ht="23.25" customHeight="1" x14ac:dyDescent="0.3">
      <c r="A27" s="6" t="s">
        <v>79</v>
      </c>
      <c r="B27" s="6" t="s">
        <v>80</v>
      </c>
      <c r="C27" s="6" t="s">
        <v>12</v>
      </c>
      <c r="D27" s="6" t="s">
        <v>34</v>
      </c>
      <c r="E27" s="6" t="s">
        <v>76</v>
      </c>
      <c r="F27" s="6" t="s">
        <v>77</v>
      </c>
      <c r="G27" s="6" t="s">
        <v>77</v>
      </c>
      <c r="H27" s="7" t="s">
        <v>81</v>
      </c>
    </row>
    <row r="28" spans="1:8" ht="23.25" customHeight="1" x14ac:dyDescent="0.3">
      <c r="A28" s="6" t="s">
        <v>82</v>
      </c>
      <c r="B28" s="6" t="s">
        <v>83</v>
      </c>
      <c r="C28" s="6" t="s">
        <v>12</v>
      </c>
      <c r="D28" s="6" t="s">
        <v>75</v>
      </c>
      <c r="E28" s="6" t="s">
        <v>76</v>
      </c>
      <c r="F28" s="6" t="s">
        <v>77</v>
      </c>
      <c r="G28" s="6" t="s">
        <v>77</v>
      </c>
      <c r="H28" s="7" t="s">
        <v>84</v>
      </c>
    </row>
    <row r="29" spans="1:8" ht="15" customHeight="1" x14ac:dyDescent="0.3">
      <c r="A29" s="8" t="s">
        <v>85</v>
      </c>
      <c r="B29" s="8" t="s">
        <v>86</v>
      </c>
      <c r="C29" s="8" t="s">
        <v>12</v>
      </c>
      <c r="D29" s="8" t="s">
        <v>87</v>
      </c>
      <c r="E29" s="8" t="s">
        <v>88</v>
      </c>
      <c r="F29" s="8"/>
      <c r="G29" s="8"/>
      <c r="H29" s="8" t="s">
        <v>89</v>
      </c>
    </row>
    <row r="30" spans="1:8" ht="15" customHeight="1" x14ac:dyDescent="0.3">
      <c r="A30" s="8" t="s">
        <v>90</v>
      </c>
      <c r="B30" s="8" t="s">
        <v>91</v>
      </c>
      <c r="C30" s="8" t="s">
        <v>12</v>
      </c>
      <c r="D30" s="8" t="s">
        <v>87</v>
      </c>
      <c r="E30" s="8" t="s">
        <v>88</v>
      </c>
      <c r="F30" s="8"/>
      <c r="G30" s="8"/>
      <c r="H30" s="8"/>
    </row>
    <row r="31" spans="1:8" ht="15" customHeight="1" x14ac:dyDescent="0.3">
      <c r="A31" s="8" t="s">
        <v>92</v>
      </c>
      <c r="B31" s="8" t="s">
        <v>93</v>
      </c>
      <c r="C31" s="8" t="s">
        <v>12</v>
      </c>
      <c r="D31" s="8" t="s">
        <v>87</v>
      </c>
      <c r="E31" s="8" t="s">
        <v>88</v>
      </c>
      <c r="F31" s="8"/>
      <c r="G31" s="8"/>
      <c r="H31" s="8"/>
    </row>
    <row r="32" spans="1:8" ht="15" customHeight="1" x14ac:dyDescent="0.3">
      <c r="A32" s="8" t="s">
        <v>94</v>
      </c>
      <c r="B32" s="8" t="s">
        <v>95</v>
      </c>
      <c r="C32" s="8" t="s">
        <v>12</v>
      </c>
      <c r="D32" s="8" t="s">
        <v>96</v>
      </c>
      <c r="E32" s="8" t="s">
        <v>88</v>
      </c>
      <c r="F32" s="8"/>
      <c r="G32" s="8"/>
      <c r="H32" s="8"/>
    </row>
    <row r="33" spans="1:8" ht="15" customHeight="1" x14ac:dyDescent="0.3">
      <c r="A33" s="8" t="s">
        <v>97</v>
      </c>
      <c r="B33" s="8" t="s">
        <v>98</v>
      </c>
      <c r="C33" s="8" t="s">
        <v>12</v>
      </c>
      <c r="D33" s="8" t="s">
        <v>99</v>
      </c>
      <c r="E33" s="8" t="s">
        <v>88</v>
      </c>
      <c r="F33" s="8"/>
      <c r="G33" s="8"/>
      <c r="H33" s="8"/>
    </row>
    <row r="35" spans="1:8" ht="15" customHeight="1" x14ac:dyDescent="0.3">
      <c r="A35" s="9" t="s">
        <v>100</v>
      </c>
    </row>
    <row r="36" spans="1:8" ht="15" customHeight="1" x14ac:dyDescent="0.3">
      <c r="A36" s="10" t="s">
        <v>101</v>
      </c>
    </row>
    <row r="37" spans="1:8" ht="15" customHeight="1" x14ac:dyDescent="0.3">
      <c r="A37" s="11" t="s">
        <v>102</v>
      </c>
    </row>
    <row r="38" spans="1:8" ht="15" customHeight="1" x14ac:dyDescent="0.3">
      <c r="A38" s="12" t="s">
        <v>103</v>
      </c>
    </row>
  </sheetData>
  <autoFilter ref="A4:H33"/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8"/>
  <sheetViews>
    <sheetView zoomScaleNormal="100" workbookViewId="0">
      <pane xSplit="5" ySplit="4" topLeftCell="L5" activePane="bottomRight" state="frozen"/>
      <selection pane="topRight" activeCell="F1" sqref="F1"/>
      <selection pane="bottomLeft" activeCell="A5" sqref="A5"/>
      <selection pane="bottomRight" activeCell="H64" sqref="H64"/>
    </sheetView>
  </sheetViews>
  <sheetFormatPr defaultColWidth="8.6640625" defaultRowHeight="14.4" x14ac:dyDescent="0.3"/>
  <cols>
    <col min="1" max="1" width="10" style="1" customWidth="1"/>
    <col min="2" max="2" width="28" style="1" customWidth="1"/>
    <col min="3" max="3" width="7" style="1" customWidth="1"/>
    <col min="4" max="4" width="17.21875" style="1" bestFit="1" customWidth="1"/>
    <col min="5" max="8" width="13" style="1" customWidth="1"/>
    <col min="9" max="9" width="12" style="1" customWidth="1"/>
    <col min="10" max="10" width="13" style="1" customWidth="1"/>
    <col min="11" max="11" width="14" style="1" customWidth="1"/>
    <col min="12" max="13" width="12" style="1" customWidth="1"/>
    <col min="14" max="14" width="13" style="1" customWidth="1"/>
    <col min="15" max="16" width="14" style="1" customWidth="1"/>
    <col min="17" max="20" width="12" style="1" customWidth="1"/>
    <col min="21" max="21" width="14" style="1" customWidth="1"/>
  </cols>
  <sheetData>
    <row r="1" spans="1:21" ht="15.75" customHeight="1" x14ac:dyDescent="0.3">
      <c r="A1" s="111" t="s">
        <v>104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</row>
    <row r="2" spans="1:21" ht="15" customHeight="1" x14ac:dyDescent="0.3">
      <c r="A2" s="109" t="s">
        <v>105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</row>
    <row r="4" spans="1:21" ht="42" customHeight="1" x14ac:dyDescent="0.3">
      <c r="A4" s="3" t="s">
        <v>2</v>
      </c>
      <c r="B4" s="3" t="s">
        <v>3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110</v>
      </c>
      <c r="H4" s="3" t="s">
        <v>111</v>
      </c>
      <c r="I4" s="3" t="s">
        <v>112</v>
      </c>
      <c r="J4" s="3" t="s">
        <v>113</v>
      </c>
      <c r="K4" s="3" t="s">
        <v>277</v>
      </c>
      <c r="L4" s="3" t="s">
        <v>114</v>
      </c>
      <c r="M4" s="3" t="s">
        <v>115</v>
      </c>
      <c r="N4" s="3" t="s">
        <v>116</v>
      </c>
      <c r="O4" s="3" t="s">
        <v>117</v>
      </c>
      <c r="P4" s="3" t="s">
        <v>118</v>
      </c>
      <c r="Q4" s="3" t="s">
        <v>119</v>
      </c>
      <c r="R4" s="3" t="s">
        <v>120</v>
      </c>
      <c r="S4" s="3" t="s">
        <v>121</v>
      </c>
      <c r="T4" s="3" t="s">
        <v>122</v>
      </c>
      <c r="U4" s="3" t="s">
        <v>123</v>
      </c>
    </row>
    <row r="5" spans="1:21" ht="15" customHeight="1" x14ac:dyDescent="0.3">
      <c r="A5" s="13" t="s">
        <v>10</v>
      </c>
      <c r="B5" s="13" t="s">
        <v>11</v>
      </c>
      <c r="C5" s="14">
        <v>2018</v>
      </c>
      <c r="D5" s="15" t="str">
        <f t="shared" ref="D5:D36" si="0">A5&amp;"-"&amp;C5</f>
        <v>ALW-2018</v>
      </c>
      <c r="E5" s="16" t="s">
        <v>274</v>
      </c>
      <c r="F5" s="17">
        <v>62495</v>
      </c>
      <c r="G5" s="17">
        <v>-68275</v>
      </c>
      <c r="H5" s="17">
        <v>555</v>
      </c>
      <c r="I5" s="17">
        <v>16783</v>
      </c>
      <c r="J5" s="17">
        <v>213320</v>
      </c>
      <c r="K5" s="17">
        <v>120</v>
      </c>
      <c r="L5" s="17">
        <v>230133</v>
      </c>
      <c r="M5" s="17">
        <v>-10609</v>
      </c>
      <c r="N5" s="17">
        <v>5484</v>
      </c>
      <c r="O5" s="17">
        <v>33162</v>
      </c>
      <c r="P5" s="17">
        <v>-10161</v>
      </c>
      <c r="Q5" s="17">
        <v>128850</v>
      </c>
      <c r="R5" s="17">
        <v>0</v>
      </c>
      <c r="S5" s="17">
        <v>156448</v>
      </c>
      <c r="T5" s="17">
        <v>73685</v>
      </c>
      <c r="U5" s="18">
        <f t="shared" ref="U5:U68" si="1">IF(OR(L5="",S5="",T5=""),"",L5-S5-T5)</f>
        <v>0</v>
      </c>
    </row>
    <row r="6" spans="1:21" ht="15" customHeight="1" x14ac:dyDescent="0.3">
      <c r="A6" s="19" t="s">
        <v>10</v>
      </c>
      <c r="B6" s="19" t="s">
        <v>11</v>
      </c>
      <c r="C6" s="20">
        <v>2019</v>
      </c>
      <c r="D6" s="21" t="str">
        <f t="shared" si="0"/>
        <v>ALW-2019</v>
      </c>
      <c r="E6" s="22" t="s">
        <v>274</v>
      </c>
      <c r="F6" s="23">
        <v>76993</v>
      </c>
      <c r="G6" s="23">
        <v>-77125</v>
      </c>
      <c r="H6" s="23">
        <v>737</v>
      </c>
      <c r="I6" s="23">
        <v>19473</v>
      </c>
      <c r="J6" s="23">
        <v>206458</v>
      </c>
      <c r="K6" s="23">
        <v>120</v>
      </c>
      <c r="L6" s="23">
        <v>226051</v>
      </c>
      <c r="M6" s="23">
        <v>-9257</v>
      </c>
      <c r="N6" s="23">
        <v>7283</v>
      </c>
      <c r="O6" s="23">
        <v>24199</v>
      </c>
      <c r="P6" s="23">
        <v>2760</v>
      </c>
      <c r="Q6" s="23">
        <v>154993</v>
      </c>
      <c r="R6" s="23">
        <v>0</v>
      </c>
      <c r="S6" s="23">
        <v>206309</v>
      </c>
      <c r="T6" s="23">
        <v>19742</v>
      </c>
      <c r="U6" s="18">
        <f t="shared" si="1"/>
        <v>0</v>
      </c>
    </row>
    <row r="7" spans="1:21" ht="15" customHeight="1" x14ac:dyDescent="0.3">
      <c r="A7" s="19" t="s">
        <v>10</v>
      </c>
      <c r="B7" s="19" t="s">
        <v>11</v>
      </c>
      <c r="C7" s="20">
        <v>2020</v>
      </c>
      <c r="D7" s="21" t="str">
        <f t="shared" si="0"/>
        <v>ALW-2020</v>
      </c>
      <c r="E7" s="22" t="s">
        <v>274</v>
      </c>
      <c r="F7" s="23">
        <v>68975</v>
      </c>
      <c r="G7" s="23">
        <v>-74005</v>
      </c>
      <c r="H7" s="23">
        <v>400</v>
      </c>
      <c r="I7" s="23">
        <v>15182</v>
      </c>
      <c r="J7" s="23">
        <v>200096</v>
      </c>
      <c r="K7" s="23">
        <v>120</v>
      </c>
      <c r="L7" s="23">
        <v>215398</v>
      </c>
      <c r="M7" s="23">
        <v>-7327</v>
      </c>
      <c r="N7" s="23">
        <v>6985</v>
      </c>
      <c r="O7" s="23">
        <v>-33794</v>
      </c>
      <c r="P7" s="23">
        <v>-4834</v>
      </c>
      <c r="Q7" s="23">
        <v>181036</v>
      </c>
      <c r="R7" s="23">
        <v>0</v>
      </c>
      <c r="S7" s="23">
        <v>230081</v>
      </c>
      <c r="T7" s="23">
        <v>-14683</v>
      </c>
      <c r="U7" s="18">
        <f t="shared" si="1"/>
        <v>0</v>
      </c>
    </row>
    <row r="8" spans="1:21" ht="15" customHeight="1" x14ac:dyDescent="0.3">
      <c r="A8" s="19" t="s">
        <v>10</v>
      </c>
      <c r="B8" s="19" t="s">
        <v>11</v>
      </c>
      <c r="C8" s="20">
        <v>2021</v>
      </c>
      <c r="D8" s="21" t="str">
        <f t="shared" si="0"/>
        <v>ALW-2021</v>
      </c>
      <c r="E8" s="22" t="s">
        <v>274</v>
      </c>
      <c r="F8" s="23">
        <v>99011</v>
      </c>
      <c r="G8" s="23">
        <v>-113096</v>
      </c>
      <c r="H8" s="23">
        <v>641</v>
      </c>
      <c r="I8" s="23">
        <v>14276</v>
      </c>
      <c r="J8" s="23">
        <v>217360</v>
      </c>
      <c r="K8" s="23">
        <v>120</v>
      </c>
      <c r="L8" s="23">
        <v>236102</v>
      </c>
      <c r="M8" s="23">
        <v>-11666</v>
      </c>
      <c r="N8" s="23">
        <v>10071</v>
      </c>
      <c r="O8" s="23">
        <v>-65755</v>
      </c>
      <c r="P8" s="23">
        <v>-26944</v>
      </c>
      <c r="Q8" s="23">
        <v>189271</v>
      </c>
      <c r="R8" s="23">
        <v>0</v>
      </c>
      <c r="S8" s="23">
        <v>193621</v>
      </c>
      <c r="T8" s="23">
        <v>42481</v>
      </c>
      <c r="U8" s="18">
        <f t="shared" si="1"/>
        <v>0</v>
      </c>
    </row>
    <row r="9" spans="1:21" ht="15" customHeight="1" x14ac:dyDescent="0.3">
      <c r="A9" s="19" t="s">
        <v>10</v>
      </c>
      <c r="B9" s="19" t="s">
        <v>11</v>
      </c>
      <c r="C9" s="20">
        <v>2022</v>
      </c>
      <c r="D9" s="21" t="str">
        <f t="shared" si="0"/>
        <v>ALW-2022</v>
      </c>
      <c r="E9" s="22" t="s">
        <v>274</v>
      </c>
      <c r="F9" s="23">
        <v>33441</v>
      </c>
      <c r="G9" s="23">
        <v>-58196</v>
      </c>
      <c r="H9" s="23">
        <v>1086</v>
      </c>
      <c r="I9" s="23">
        <v>16352</v>
      </c>
      <c r="J9" s="23">
        <v>209318</v>
      </c>
      <c r="K9" s="23">
        <v>0</v>
      </c>
      <c r="L9" s="23">
        <v>230136</v>
      </c>
      <c r="M9" s="23">
        <v>-10697</v>
      </c>
      <c r="N9" s="23">
        <v>8071</v>
      </c>
      <c r="O9" s="23">
        <v>-74943</v>
      </c>
      <c r="P9" s="23">
        <v>473</v>
      </c>
      <c r="Q9" s="23">
        <v>72289</v>
      </c>
      <c r="R9" s="23">
        <v>0</v>
      </c>
      <c r="S9" s="23">
        <v>262598</v>
      </c>
      <c r="T9" s="23">
        <v>-32462</v>
      </c>
      <c r="U9" s="18">
        <f t="shared" si="1"/>
        <v>0</v>
      </c>
    </row>
    <row r="10" spans="1:21" ht="15" customHeight="1" thickBot="1" x14ac:dyDescent="0.35">
      <c r="A10" s="46" t="s">
        <v>10</v>
      </c>
      <c r="B10" s="46" t="s">
        <v>11</v>
      </c>
      <c r="C10" s="47">
        <v>2023</v>
      </c>
      <c r="D10" s="48" t="str">
        <f t="shared" si="0"/>
        <v>ALW-2023</v>
      </c>
      <c r="E10" s="49"/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18">
        <f t="shared" si="1"/>
        <v>0</v>
      </c>
    </row>
    <row r="11" spans="1:21" ht="15" customHeight="1" x14ac:dyDescent="0.3">
      <c r="A11" s="41" t="s">
        <v>16</v>
      </c>
      <c r="B11" s="41" t="s">
        <v>17</v>
      </c>
      <c r="C11" s="42">
        <v>2018</v>
      </c>
      <c r="D11" s="43" t="str">
        <f t="shared" si="0"/>
        <v>BOPP-2018</v>
      </c>
      <c r="E11" s="44" t="s">
        <v>274</v>
      </c>
      <c r="F11" s="45">
        <v>70091</v>
      </c>
      <c r="G11" s="45">
        <v>-65161</v>
      </c>
      <c r="H11" s="45">
        <v>1035</v>
      </c>
      <c r="I11" s="45">
        <v>29376</v>
      </c>
      <c r="J11" s="45">
        <v>47309</v>
      </c>
      <c r="K11" s="45">
        <v>0</v>
      </c>
      <c r="L11" s="45">
        <v>81435</v>
      </c>
      <c r="M11" s="45">
        <v>-9386</v>
      </c>
      <c r="N11" s="45">
        <v>3644</v>
      </c>
      <c r="O11" s="45">
        <v>5913</v>
      </c>
      <c r="P11" s="45">
        <v>11259</v>
      </c>
      <c r="Q11" s="45">
        <v>8276</v>
      </c>
      <c r="R11" s="45">
        <v>0</v>
      </c>
      <c r="S11" s="45">
        <v>13054</v>
      </c>
      <c r="T11" s="45">
        <v>68381</v>
      </c>
      <c r="U11" s="18">
        <f t="shared" si="1"/>
        <v>0</v>
      </c>
    </row>
    <row r="12" spans="1:21" ht="15" customHeight="1" x14ac:dyDescent="0.3">
      <c r="A12" s="19" t="s">
        <v>16</v>
      </c>
      <c r="B12" s="19" t="s">
        <v>17</v>
      </c>
      <c r="C12" s="20">
        <v>2019</v>
      </c>
      <c r="D12" s="21" t="str">
        <f t="shared" si="0"/>
        <v>BOPP-2019</v>
      </c>
      <c r="E12" s="22" t="s">
        <v>274</v>
      </c>
      <c r="F12" s="23">
        <v>95620</v>
      </c>
      <c r="G12" s="23">
        <v>-76240</v>
      </c>
      <c r="H12" s="23">
        <v>0</v>
      </c>
      <c r="I12" s="23">
        <v>38292</v>
      </c>
      <c r="J12" s="23">
        <v>49471</v>
      </c>
      <c r="K12" s="23">
        <v>0</v>
      </c>
      <c r="L12" s="23">
        <v>92900</v>
      </c>
      <c r="M12" s="23">
        <v>-8494</v>
      </c>
      <c r="N12" s="23">
        <v>3995</v>
      </c>
      <c r="O12" s="23">
        <v>9653</v>
      </c>
      <c r="P12" s="23">
        <v>9770</v>
      </c>
      <c r="Q12" s="23">
        <v>10290</v>
      </c>
      <c r="R12" s="23">
        <v>0</v>
      </c>
      <c r="S12" s="23">
        <v>16049</v>
      </c>
      <c r="T12" s="23">
        <v>76851</v>
      </c>
      <c r="U12" s="18">
        <f t="shared" si="1"/>
        <v>0</v>
      </c>
    </row>
    <row r="13" spans="1:21" ht="15" customHeight="1" x14ac:dyDescent="0.3">
      <c r="A13" s="19" t="s">
        <v>16</v>
      </c>
      <c r="B13" s="19" t="s">
        <v>17</v>
      </c>
      <c r="C13" s="20">
        <v>2020</v>
      </c>
      <c r="D13" s="21" t="str">
        <f t="shared" si="0"/>
        <v>BOPP-2020</v>
      </c>
      <c r="E13" s="22" t="s">
        <v>274</v>
      </c>
      <c r="F13" s="23">
        <v>123817</v>
      </c>
      <c r="G13" s="23">
        <v>-84940</v>
      </c>
      <c r="H13" s="23">
        <v>0</v>
      </c>
      <c r="I13" s="23">
        <v>49431</v>
      </c>
      <c r="J13" s="23">
        <v>57909</v>
      </c>
      <c r="K13" s="23">
        <v>0</v>
      </c>
      <c r="L13" s="23">
        <v>119115</v>
      </c>
      <c r="M13" s="23">
        <v>-11727</v>
      </c>
      <c r="N13" s="23">
        <v>4757</v>
      </c>
      <c r="O13" s="23">
        <v>24697</v>
      </c>
      <c r="P13" s="23">
        <v>31347</v>
      </c>
      <c r="Q13" s="23">
        <v>10087</v>
      </c>
      <c r="R13" s="23">
        <v>0</v>
      </c>
      <c r="S13" s="23">
        <v>19481</v>
      </c>
      <c r="T13" s="23">
        <v>99634</v>
      </c>
      <c r="U13" s="18">
        <f t="shared" si="1"/>
        <v>0</v>
      </c>
    </row>
    <row r="14" spans="1:21" ht="15" customHeight="1" x14ac:dyDescent="0.3">
      <c r="A14" s="19" t="s">
        <v>16</v>
      </c>
      <c r="B14" s="19" t="s">
        <v>17</v>
      </c>
      <c r="C14" s="20">
        <v>2021</v>
      </c>
      <c r="D14" s="21" t="str">
        <f t="shared" si="0"/>
        <v>BOPP-2021</v>
      </c>
      <c r="E14" s="22" t="s">
        <v>274</v>
      </c>
      <c r="F14" s="23">
        <v>214175</v>
      </c>
      <c r="G14" s="23">
        <v>-101397</v>
      </c>
      <c r="H14" s="23">
        <v>0</v>
      </c>
      <c r="I14" s="23">
        <v>139104</v>
      </c>
      <c r="J14" s="23">
        <v>64417</v>
      </c>
      <c r="K14" s="23">
        <v>0</v>
      </c>
      <c r="L14" s="23">
        <v>223123</v>
      </c>
      <c r="M14" s="23">
        <v>-14943</v>
      </c>
      <c r="N14" s="23">
        <v>5570</v>
      </c>
      <c r="O14" s="23">
        <v>92423</v>
      </c>
      <c r="P14" s="23">
        <v>35256</v>
      </c>
      <c r="Q14" s="23">
        <v>30368</v>
      </c>
      <c r="R14" s="23">
        <v>0</v>
      </c>
      <c r="S14" s="23">
        <v>38484</v>
      </c>
      <c r="T14" s="23">
        <v>184639</v>
      </c>
      <c r="U14" s="18">
        <f t="shared" si="1"/>
        <v>0</v>
      </c>
    </row>
    <row r="15" spans="1:21" ht="15" customHeight="1" x14ac:dyDescent="0.3">
      <c r="A15" s="19" t="s">
        <v>16</v>
      </c>
      <c r="B15" s="19" t="s">
        <v>17</v>
      </c>
      <c r="C15" s="20">
        <v>2022</v>
      </c>
      <c r="D15" s="21" t="str">
        <f t="shared" si="0"/>
        <v>BOPP-2022</v>
      </c>
      <c r="E15" s="22" t="s">
        <v>274</v>
      </c>
      <c r="F15" s="23">
        <v>340496</v>
      </c>
      <c r="G15" s="23">
        <v>-157865</v>
      </c>
      <c r="H15" s="23">
        <v>0</v>
      </c>
      <c r="I15" s="23">
        <v>197444</v>
      </c>
      <c r="J15" s="23">
        <v>95446</v>
      </c>
      <c r="K15" s="23">
        <v>0</v>
      </c>
      <c r="L15" s="23">
        <v>324730</v>
      </c>
      <c r="M15" s="23">
        <v>-23345</v>
      </c>
      <c r="N15" s="23">
        <v>7092</v>
      </c>
      <c r="O15" s="23">
        <v>160354</v>
      </c>
      <c r="P15" s="23">
        <v>126476</v>
      </c>
      <c r="Q15" s="23">
        <v>44818</v>
      </c>
      <c r="R15" s="23">
        <v>0</v>
      </c>
      <c r="S15" s="23">
        <v>55999</v>
      </c>
      <c r="T15" s="23">
        <v>268731</v>
      </c>
      <c r="U15" s="18">
        <f t="shared" si="1"/>
        <v>0</v>
      </c>
    </row>
    <row r="16" spans="1:21" ht="15" customHeight="1" thickBot="1" x14ac:dyDescent="0.35">
      <c r="A16" s="51" t="s">
        <v>16</v>
      </c>
      <c r="B16" s="51" t="s">
        <v>17</v>
      </c>
      <c r="C16" s="52">
        <v>2023</v>
      </c>
      <c r="D16" s="53" t="str">
        <f t="shared" si="0"/>
        <v>BOPP-2023</v>
      </c>
      <c r="E16" s="54" t="s">
        <v>274</v>
      </c>
      <c r="F16" s="55">
        <v>351611</v>
      </c>
      <c r="G16" s="55">
        <v>-220401</v>
      </c>
      <c r="H16" s="55">
        <v>0</v>
      </c>
      <c r="I16" s="55">
        <v>184352</v>
      </c>
      <c r="J16" s="55">
        <v>136833</v>
      </c>
      <c r="K16" s="55">
        <v>0</v>
      </c>
      <c r="L16" s="55">
        <v>369175</v>
      </c>
      <c r="M16" s="55">
        <v>-31843</v>
      </c>
      <c r="N16" s="55">
        <v>10714</v>
      </c>
      <c r="O16" s="55">
        <v>102813</v>
      </c>
      <c r="P16" s="55">
        <v>180308</v>
      </c>
      <c r="Q16" s="55">
        <v>61933</v>
      </c>
      <c r="R16" s="55">
        <v>0</v>
      </c>
      <c r="S16" s="55">
        <v>77292</v>
      </c>
      <c r="T16" s="55">
        <v>291883</v>
      </c>
      <c r="U16" s="18">
        <f t="shared" si="1"/>
        <v>0</v>
      </c>
    </row>
    <row r="17" spans="1:21" ht="15" customHeight="1" x14ac:dyDescent="0.3">
      <c r="A17" s="56" t="s">
        <v>19</v>
      </c>
      <c r="B17" s="56" t="s">
        <v>20</v>
      </c>
      <c r="C17" s="57">
        <v>2018</v>
      </c>
      <c r="D17" s="58" t="str">
        <f t="shared" si="0"/>
        <v>CLYD-2018</v>
      </c>
      <c r="E17" s="59" t="s">
        <v>275</v>
      </c>
      <c r="F17" s="60">
        <v>5861359</v>
      </c>
      <c r="G17" s="60">
        <v>-4244824</v>
      </c>
      <c r="H17" s="60">
        <v>2284453</v>
      </c>
      <c r="I17" s="60">
        <v>3755240</v>
      </c>
      <c r="J17" s="60">
        <v>311659</v>
      </c>
      <c r="K17" s="60">
        <v>3100</v>
      </c>
      <c r="L17" s="60">
        <v>5339861</v>
      </c>
      <c r="M17" s="60">
        <v>1159536</v>
      </c>
      <c r="N17" s="60">
        <v>119081</v>
      </c>
      <c r="O17" s="60">
        <v>576293</v>
      </c>
      <c r="P17" s="60">
        <v>202856</v>
      </c>
      <c r="Q17" s="60">
        <v>2213142</v>
      </c>
      <c r="R17" s="60">
        <v>0</v>
      </c>
      <c r="S17" s="60">
        <v>4759677</v>
      </c>
      <c r="T17" s="60">
        <v>580184</v>
      </c>
      <c r="U17" s="18">
        <f t="shared" si="1"/>
        <v>0</v>
      </c>
    </row>
    <row r="18" spans="1:21" ht="15" customHeight="1" x14ac:dyDescent="0.3">
      <c r="A18" s="19" t="s">
        <v>19</v>
      </c>
      <c r="B18" s="19" t="s">
        <v>20</v>
      </c>
      <c r="C18" s="20">
        <v>2019</v>
      </c>
      <c r="D18" s="21" t="str">
        <f t="shared" si="0"/>
        <v>CLYD-2019</v>
      </c>
      <c r="E18" s="22" t="s">
        <v>275</v>
      </c>
      <c r="F18" s="23">
        <v>7244821</v>
      </c>
      <c r="G18" s="23">
        <v>-5322352</v>
      </c>
      <c r="H18" s="23">
        <v>2083907</v>
      </c>
      <c r="I18" s="23">
        <v>3935378</v>
      </c>
      <c r="J18" s="23">
        <v>235519</v>
      </c>
      <c r="K18" s="23">
        <v>0</v>
      </c>
      <c r="L18" s="23">
        <v>5441358</v>
      </c>
      <c r="M18" s="23">
        <v>1187033</v>
      </c>
      <c r="N18" s="23">
        <v>90072</v>
      </c>
      <c r="O18" s="23">
        <v>224284</v>
      </c>
      <c r="P18" s="23">
        <v>448938</v>
      </c>
      <c r="Q18" s="23">
        <v>3174611</v>
      </c>
      <c r="R18" s="23">
        <v>0</v>
      </c>
      <c r="S18" s="23">
        <v>4395995</v>
      </c>
      <c r="T18" s="23">
        <v>1045363</v>
      </c>
      <c r="U18" s="18">
        <f t="shared" si="1"/>
        <v>0</v>
      </c>
    </row>
    <row r="19" spans="1:21" ht="15" customHeight="1" x14ac:dyDescent="0.3">
      <c r="A19" s="19" t="s">
        <v>19</v>
      </c>
      <c r="B19" s="19" t="s">
        <v>20</v>
      </c>
      <c r="C19" s="20">
        <v>2020</v>
      </c>
      <c r="D19" s="21" t="str">
        <f t="shared" si="0"/>
        <v>CLYD-2020</v>
      </c>
      <c r="E19" s="22" t="s">
        <v>275</v>
      </c>
      <c r="F19" s="23">
        <v>4039375</v>
      </c>
      <c r="G19" s="23">
        <v>-2358952</v>
      </c>
      <c r="H19" s="23">
        <v>1990637</v>
      </c>
      <c r="I19" s="23">
        <v>3080302</v>
      </c>
      <c r="J19" s="23">
        <v>162051</v>
      </c>
      <c r="K19" s="23">
        <v>24536</v>
      </c>
      <c r="L19" s="23">
        <v>6592549</v>
      </c>
      <c r="M19" s="23">
        <v>1107547</v>
      </c>
      <c r="N19" s="23">
        <v>86948</v>
      </c>
      <c r="O19" s="23">
        <v>72139</v>
      </c>
      <c r="P19" s="23">
        <v>215325</v>
      </c>
      <c r="Q19" s="23">
        <v>4759677</v>
      </c>
      <c r="R19" s="23">
        <v>0</v>
      </c>
      <c r="S19" s="23">
        <v>3450920</v>
      </c>
      <c r="T19" s="23">
        <v>3141629</v>
      </c>
      <c r="U19" s="18">
        <f t="shared" si="1"/>
        <v>0</v>
      </c>
    </row>
    <row r="20" spans="1:21" ht="15" customHeight="1" x14ac:dyDescent="0.3">
      <c r="A20" s="19" t="s">
        <v>19</v>
      </c>
      <c r="B20" s="19" t="s">
        <v>20</v>
      </c>
      <c r="C20" s="20">
        <v>2021</v>
      </c>
      <c r="D20" s="21" t="str">
        <f t="shared" si="0"/>
        <v>CLYD-2021</v>
      </c>
      <c r="E20" s="22" t="s">
        <v>275</v>
      </c>
      <c r="F20" s="23">
        <v>2496111</v>
      </c>
      <c r="G20" s="23">
        <v>-1456770</v>
      </c>
      <c r="H20" s="23">
        <v>1464738</v>
      </c>
      <c r="I20" s="23">
        <v>2706870</v>
      </c>
      <c r="J20" s="23">
        <v>85875</v>
      </c>
      <c r="K20" s="23">
        <v>-3100</v>
      </c>
      <c r="L20" s="23">
        <v>6213658</v>
      </c>
      <c r="M20" s="23">
        <v>853015</v>
      </c>
      <c r="N20" s="23">
        <v>80160</v>
      </c>
      <c r="O20" s="23">
        <v>-424863</v>
      </c>
      <c r="P20" s="23">
        <v>-308177</v>
      </c>
      <c r="Q20" s="23">
        <v>4758528</v>
      </c>
      <c r="R20" s="23">
        <v>0</v>
      </c>
      <c r="S20" s="23">
        <v>3525033</v>
      </c>
      <c r="T20" s="23">
        <v>2886839</v>
      </c>
      <c r="U20" s="18">
        <f t="shared" si="1"/>
        <v>-198214</v>
      </c>
    </row>
    <row r="21" spans="1:21" ht="15" customHeight="1" x14ac:dyDescent="0.3">
      <c r="A21" s="19" t="s">
        <v>19</v>
      </c>
      <c r="B21" s="19" t="s">
        <v>20</v>
      </c>
      <c r="C21" s="20">
        <v>2022</v>
      </c>
      <c r="D21" s="21" t="str">
        <f t="shared" si="0"/>
        <v>CLYD-2022</v>
      </c>
      <c r="E21" s="22" t="s">
        <v>275</v>
      </c>
      <c r="F21" s="23">
        <v>8037300.96</v>
      </c>
      <c r="G21" s="23">
        <v>-5207385.1900000004</v>
      </c>
      <c r="H21" s="23">
        <v>4049439.08</v>
      </c>
      <c r="I21" s="23">
        <v>6772740.699</v>
      </c>
      <c r="J21" s="23">
        <v>654920.21400000004</v>
      </c>
      <c r="K21" s="23">
        <v>0</v>
      </c>
      <c r="L21" s="23">
        <v>10905418.302999999</v>
      </c>
      <c r="M21" s="23">
        <v>2110896.75</v>
      </c>
      <c r="N21" s="23">
        <v>24164.31</v>
      </c>
      <c r="O21" s="23">
        <v>571109.99199999997</v>
      </c>
      <c r="P21" s="23">
        <v>242792.83</v>
      </c>
      <c r="Q21" s="23">
        <v>6487756.1880000001</v>
      </c>
      <c r="R21" s="23">
        <v>555555.57999999996</v>
      </c>
      <c r="S21" s="23">
        <v>7043311.7680000002</v>
      </c>
      <c r="T21" s="23">
        <v>3862106.068</v>
      </c>
      <c r="U21" s="18">
        <f t="shared" si="1"/>
        <v>0.46699999924749136</v>
      </c>
    </row>
    <row r="22" spans="1:21" ht="15" customHeight="1" thickBot="1" x14ac:dyDescent="0.35">
      <c r="A22" s="46" t="s">
        <v>19</v>
      </c>
      <c r="B22" s="46" t="s">
        <v>20</v>
      </c>
      <c r="C22" s="47">
        <v>2023</v>
      </c>
      <c r="D22" s="48" t="str">
        <f t="shared" si="0"/>
        <v>CLYD-2023</v>
      </c>
      <c r="E22" s="49" t="s">
        <v>275</v>
      </c>
      <c r="F22" s="50">
        <v>7336525.4699999997</v>
      </c>
      <c r="G22" s="50">
        <v>-3665826.8</v>
      </c>
      <c r="H22" s="50">
        <v>2802250.31</v>
      </c>
      <c r="I22" s="50">
        <v>5619732.8660000004</v>
      </c>
      <c r="J22" s="50">
        <v>632662.53399999999</v>
      </c>
      <c r="K22" s="50">
        <v>0</v>
      </c>
      <c r="L22" s="50">
        <v>9820242.1500000004</v>
      </c>
      <c r="M22" s="50">
        <v>2541494.31</v>
      </c>
      <c r="N22" s="50">
        <v>46971.360000000001</v>
      </c>
      <c r="O22" s="50">
        <v>134251.03400000001</v>
      </c>
      <c r="P22" s="50">
        <v>-1388099.9720000001</v>
      </c>
      <c r="Q22" s="50">
        <v>4953866.568</v>
      </c>
      <c r="R22" s="50">
        <v>870018.8</v>
      </c>
      <c r="S22" s="50">
        <v>5823885.3679999998</v>
      </c>
      <c r="T22" s="50">
        <v>3996357.102</v>
      </c>
      <c r="U22" s="18">
        <f t="shared" si="1"/>
        <v>-0.31999999936670065</v>
      </c>
    </row>
    <row r="23" spans="1:21" ht="15" customHeight="1" x14ac:dyDescent="0.3">
      <c r="A23" s="41" t="s">
        <v>22</v>
      </c>
      <c r="B23" s="41" t="s">
        <v>23</v>
      </c>
      <c r="C23" s="42">
        <v>2018</v>
      </c>
      <c r="D23" s="43" t="str">
        <f t="shared" si="0"/>
        <v>CMLT-2018</v>
      </c>
      <c r="E23" s="44" t="s">
        <v>275</v>
      </c>
      <c r="F23" s="45">
        <v>6464871</v>
      </c>
      <c r="G23" s="45">
        <v>-3839122</v>
      </c>
      <c r="H23" s="45">
        <v>341521</v>
      </c>
      <c r="I23" s="45">
        <v>3053594</v>
      </c>
      <c r="J23" s="45">
        <v>1857659</v>
      </c>
      <c r="K23" s="45">
        <v>183717</v>
      </c>
      <c r="L23" s="45">
        <v>5171788</v>
      </c>
      <c r="M23" s="45">
        <v>-2495181</v>
      </c>
      <c r="N23" s="45">
        <v>98798</v>
      </c>
      <c r="O23" s="45">
        <v>30802</v>
      </c>
      <c r="P23" s="45">
        <v>500038</v>
      </c>
      <c r="Q23" s="45">
        <v>2871360</v>
      </c>
      <c r="R23" s="45">
        <v>0</v>
      </c>
      <c r="S23" s="45">
        <v>3180164</v>
      </c>
      <c r="T23" s="45">
        <v>1991624</v>
      </c>
      <c r="U23" s="18">
        <f t="shared" si="1"/>
        <v>0</v>
      </c>
    </row>
    <row r="24" spans="1:21" ht="15" customHeight="1" x14ac:dyDescent="0.3">
      <c r="A24" s="19" t="s">
        <v>22</v>
      </c>
      <c r="B24" s="19" t="s">
        <v>23</v>
      </c>
      <c r="C24" s="20">
        <v>2019</v>
      </c>
      <c r="D24" s="21" t="str">
        <f t="shared" si="0"/>
        <v>CMLT-2019</v>
      </c>
      <c r="E24" s="22" t="s">
        <v>275</v>
      </c>
      <c r="F24" s="23">
        <v>6184754</v>
      </c>
      <c r="G24" s="23">
        <v>-3441339</v>
      </c>
      <c r="H24" s="23">
        <v>807528</v>
      </c>
      <c r="I24" s="23">
        <v>3749173</v>
      </c>
      <c r="J24" s="23">
        <v>5104512</v>
      </c>
      <c r="K24" s="23">
        <v>183717</v>
      </c>
      <c r="L24" s="23">
        <v>9107313</v>
      </c>
      <c r="M24" s="23">
        <v>-2648987</v>
      </c>
      <c r="N24" s="23">
        <v>92879</v>
      </c>
      <c r="O24" s="23">
        <v>169688</v>
      </c>
      <c r="P24" s="23">
        <v>79747</v>
      </c>
      <c r="Q24" s="23">
        <v>4164802</v>
      </c>
      <c r="R24" s="23">
        <v>2800223</v>
      </c>
      <c r="S24" s="23">
        <v>7195961</v>
      </c>
      <c r="T24" s="23">
        <v>1911352</v>
      </c>
      <c r="U24" s="18">
        <f t="shared" si="1"/>
        <v>0</v>
      </c>
    </row>
    <row r="25" spans="1:21" ht="15" customHeight="1" x14ac:dyDescent="0.3">
      <c r="A25" s="19" t="s">
        <v>22</v>
      </c>
      <c r="B25" s="19" t="s">
        <v>23</v>
      </c>
      <c r="C25" s="20">
        <v>2020</v>
      </c>
      <c r="D25" s="21" t="str">
        <f t="shared" si="0"/>
        <v>CMLT-2020</v>
      </c>
      <c r="E25" s="16" t="s">
        <v>275</v>
      </c>
      <c r="F25" s="23">
        <v>7315927</v>
      </c>
      <c r="G25" s="23">
        <v>-4322986</v>
      </c>
      <c r="H25" s="23">
        <v>276701</v>
      </c>
      <c r="I25" s="23">
        <v>4933650</v>
      </c>
      <c r="J25" s="23">
        <v>9226701</v>
      </c>
      <c r="K25" s="23">
        <v>183717</v>
      </c>
      <c r="L25" s="23">
        <v>14416453</v>
      </c>
      <c r="M25" s="23">
        <v>-2511179</v>
      </c>
      <c r="N25" s="23">
        <v>359683</v>
      </c>
      <c r="O25" s="23">
        <v>127040</v>
      </c>
      <c r="P25" s="23">
        <v>-786778</v>
      </c>
      <c r="Q25" s="23">
        <v>5740507</v>
      </c>
      <c r="R25" s="23">
        <v>6708598</v>
      </c>
      <c r="S25" s="23">
        <v>12670817</v>
      </c>
      <c r="T25" s="23">
        <v>1745636</v>
      </c>
      <c r="U25" s="18">
        <f t="shared" si="1"/>
        <v>0</v>
      </c>
    </row>
    <row r="26" spans="1:21" ht="15" customHeight="1" x14ac:dyDescent="0.3">
      <c r="A26" s="19" t="s">
        <v>22</v>
      </c>
      <c r="B26" s="19" t="s">
        <v>23</v>
      </c>
      <c r="C26" s="20">
        <v>2021</v>
      </c>
      <c r="D26" s="21" t="str">
        <f t="shared" si="0"/>
        <v>CMLT-2021</v>
      </c>
      <c r="E26" s="22" t="s">
        <v>275</v>
      </c>
      <c r="F26" s="23">
        <v>10240547</v>
      </c>
      <c r="G26" s="23">
        <v>-6784952</v>
      </c>
      <c r="H26" s="23">
        <v>780786</v>
      </c>
      <c r="I26" s="23">
        <v>5004429</v>
      </c>
      <c r="J26" s="23">
        <v>11908854</v>
      </c>
      <c r="K26" s="23">
        <v>183717</v>
      </c>
      <c r="L26" s="23">
        <v>17162012</v>
      </c>
      <c r="M26" s="23">
        <v>-2965783</v>
      </c>
      <c r="N26" s="23">
        <v>577823</v>
      </c>
      <c r="O26" s="23">
        <v>-430157</v>
      </c>
      <c r="P26" s="23">
        <v>2136199</v>
      </c>
      <c r="Q26" s="23">
        <v>7203669</v>
      </c>
      <c r="R26" s="23">
        <v>7673454</v>
      </c>
      <c r="S26" s="23">
        <v>15772365</v>
      </c>
      <c r="T26" s="23">
        <v>1389647</v>
      </c>
      <c r="U26" s="18">
        <f t="shared" si="1"/>
        <v>0</v>
      </c>
    </row>
    <row r="27" spans="1:21" ht="15" customHeight="1" x14ac:dyDescent="0.3">
      <c r="A27" s="19" t="s">
        <v>22</v>
      </c>
      <c r="B27" s="19" t="s">
        <v>23</v>
      </c>
      <c r="C27" s="20">
        <v>2022</v>
      </c>
      <c r="D27" s="21" t="str">
        <f t="shared" si="0"/>
        <v>CMLT-2022</v>
      </c>
      <c r="E27" s="22" t="s">
        <v>275</v>
      </c>
      <c r="F27" s="23">
        <v>13414453</v>
      </c>
      <c r="G27" s="23">
        <v>-8575153</v>
      </c>
      <c r="H27" s="23">
        <v>1488987</v>
      </c>
      <c r="I27" s="23">
        <v>7873168</v>
      </c>
      <c r="J27" s="23">
        <v>11207309</v>
      </c>
      <c r="K27" s="23">
        <v>0</v>
      </c>
      <c r="L27" s="23">
        <v>19108954</v>
      </c>
      <c r="M27" s="23">
        <v>-4899129</v>
      </c>
      <c r="N27" s="23">
        <v>1130692</v>
      </c>
      <c r="O27" s="23">
        <v>-1378838</v>
      </c>
      <c r="P27" s="23">
        <v>369291</v>
      </c>
      <c r="Q27" s="23">
        <v>6750270</v>
      </c>
      <c r="R27" s="23">
        <v>11256588</v>
      </c>
      <c r="S27" s="23">
        <v>19135832</v>
      </c>
      <c r="T27" s="23">
        <v>-26878</v>
      </c>
      <c r="U27" s="18">
        <f t="shared" si="1"/>
        <v>0</v>
      </c>
    </row>
    <row r="28" spans="1:21" ht="15" customHeight="1" thickBot="1" x14ac:dyDescent="0.35">
      <c r="A28" s="51" t="s">
        <v>22</v>
      </c>
      <c r="B28" s="51" t="s">
        <v>23</v>
      </c>
      <c r="C28" s="52">
        <v>2023</v>
      </c>
      <c r="D28" s="53" t="str">
        <f t="shared" si="0"/>
        <v>CMLT-2023</v>
      </c>
      <c r="E28" s="54" t="s">
        <v>275</v>
      </c>
      <c r="F28" s="55">
        <v>22432725</v>
      </c>
      <c r="G28" s="55">
        <v>-11006790</v>
      </c>
      <c r="H28" s="55">
        <v>1313924</v>
      </c>
      <c r="I28" s="55">
        <v>10330818</v>
      </c>
      <c r="J28" s="55">
        <v>10934300</v>
      </c>
      <c r="K28" s="55">
        <v>0</v>
      </c>
      <c r="L28" s="55">
        <v>21286624</v>
      </c>
      <c r="M28" s="55">
        <v>-7239971</v>
      </c>
      <c r="N28" s="55">
        <v>927866</v>
      </c>
      <c r="O28" s="55">
        <v>2161177</v>
      </c>
      <c r="P28" s="55">
        <v>4045054</v>
      </c>
      <c r="Q28" s="55">
        <v>8737681</v>
      </c>
      <c r="R28" s="55">
        <v>9347748</v>
      </c>
      <c r="S28" s="55">
        <v>19427835</v>
      </c>
      <c r="T28" s="55">
        <v>1858789</v>
      </c>
      <c r="U28" s="18">
        <f t="shared" si="1"/>
        <v>0</v>
      </c>
    </row>
    <row r="29" spans="1:21" ht="15" customHeight="1" x14ac:dyDescent="0.3">
      <c r="A29" s="56" t="s">
        <v>25</v>
      </c>
      <c r="B29" s="56" t="s">
        <v>26</v>
      </c>
      <c r="C29" s="57">
        <v>2018</v>
      </c>
      <c r="D29" s="58" t="str">
        <f t="shared" si="0"/>
        <v>CPC-2018</v>
      </c>
      <c r="E29" s="59" t="s">
        <v>276</v>
      </c>
      <c r="F29" s="60">
        <v>28264711</v>
      </c>
      <c r="G29" s="60">
        <v>-27476274</v>
      </c>
      <c r="H29" s="60">
        <v>6816788</v>
      </c>
      <c r="I29" s="60">
        <v>16028038</v>
      </c>
      <c r="J29" s="60">
        <v>108383558</v>
      </c>
      <c r="K29" s="60">
        <v>0</v>
      </c>
      <c r="L29" s="61">
        <v>124411596</v>
      </c>
      <c r="M29" s="60">
        <v>-4462336</v>
      </c>
      <c r="N29" s="60">
        <v>3787534</v>
      </c>
      <c r="O29" s="60">
        <v>-12011647</v>
      </c>
      <c r="P29" s="60">
        <v>-2258684</v>
      </c>
      <c r="Q29" s="60">
        <v>52130972</v>
      </c>
      <c r="R29" s="60">
        <v>30857327</v>
      </c>
      <c r="S29" s="60">
        <v>158329087</v>
      </c>
      <c r="T29" s="60">
        <v>-33917491</v>
      </c>
      <c r="U29" s="18">
        <f>IF(OR(L29="",S29="",T29=""),"",L29-S29-T29)</f>
        <v>0</v>
      </c>
    </row>
    <row r="30" spans="1:21" ht="15" customHeight="1" x14ac:dyDescent="0.3">
      <c r="A30" s="19" t="s">
        <v>25</v>
      </c>
      <c r="B30" s="19" t="s">
        <v>26</v>
      </c>
      <c r="C30" s="20">
        <v>2019</v>
      </c>
      <c r="D30" s="21" t="str">
        <f t="shared" si="0"/>
        <v>CPC-2019</v>
      </c>
      <c r="E30" s="22" t="s">
        <v>276</v>
      </c>
      <c r="F30" s="23">
        <v>28433361</v>
      </c>
      <c r="G30" s="23">
        <v>-23661338</v>
      </c>
      <c r="H30" s="23">
        <v>2370230</v>
      </c>
      <c r="I30" s="23">
        <v>19119538</v>
      </c>
      <c r="J30" s="23">
        <v>126804747</v>
      </c>
      <c r="K30" s="23">
        <v>0</v>
      </c>
      <c r="L30" s="61">
        <v>145924285</v>
      </c>
      <c r="M30" s="23">
        <v>-5811357</v>
      </c>
      <c r="N30" s="23">
        <v>3649319</v>
      </c>
      <c r="O30" s="23">
        <v>-3362109</v>
      </c>
      <c r="P30" s="23">
        <v>1170383</v>
      </c>
      <c r="Q30" s="23">
        <v>71381548</v>
      </c>
      <c r="R30" s="23">
        <v>14507042</v>
      </c>
      <c r="S30" s="23">
        <v>168323678</v>
      </c>
      <c r="T30" s="23">
        <v>-22399393</v>
      </c>
      <c r="U30" s="18">
        <f t="shared" si="1"/>
        <v>0</v>
      </c>
    </row>
    <row r="31" spans="1:21" ht="15" customHeight="1" x14ac:dyDescent="0.3">
      <c r="A31" s="19" t="s">
        <v>25</v>
      </c>
      <c r="B31" s="19" t="s">
        <v>26</v>
      </c>
      <c r="C31" s="20">
        <v>2020</v>
      </c>
      <c r="D31" s="21" t="str">
        <f t="shared" si="0"/>
        <v>CPC-2020</v>
      </c>
      <c r="E31" s="22" t="s">
        <v>276</v>
      </c>
      <c r="F31" s="23">
        <v>13645898</v>
      </c>
      <c r="G31" s="23">
        <v>-16678361</v>
      </c>
      <c r="H31" s="23">
        <v>568334</v>
      </c>
      <c r="I31" s="23">
        <v>30303050</v>
      </c>
      <c r="J31" s="23">
        <v>122202360</v>
      </c>
      <c r="K31" s="23">
        <v>0</v>
      </c>
      <c r="L31" s="23">
        <v>152506410</v>
      </c>
      <c r="M31" s="23">
        <v>-5043612</v>
      </c>
      <c r="N31" s="23">
        <v>6252684</v>
      </c>
      <c r="O31" s="23">
        <v>-18642692</v>
      </c>
      <c r="P31" s="23">
        <v>5102</v>
      </c>
      <c r="Q31" s="23">
        <v>139123457</v>
      </c>
      <c r="R31" s="23">
        <v>25437500</v>
      </c>
      <c r="S31" s="23">
        <v>190669153</v>
      </c>
      <c r="T31" s="23">
        <v>-38162743</v>
      </c>
      <c r="U31" s="18">
        <f t="shared" si="1"/>
        <v>0</v>
      </c>
    </row>
    <row r="32" spans="1:21" ht="15" customHeight="1" x14ac:dyDescent="0.3">
      <c r="A32" s="19" t="s">
        <v>25</v>
      </c>
      <c r="B32" s="19" t="s">
        <v>26</v>
      </c>
      <c r="C32" s="20">
        <v>2021</v>
      </c>
      <c r="D32" s="21" t="str">
        <f t="shared" si="0"/>
        <v>CPC-2021</v>
      </c>
      <c r="E32" s="22" t="s">
        <v>276</v>
      </c>
      <c r="F32" s="23">
        <v>41835142</v>
      </c>
      <c r="G32" s="23">
        <v>-46828569</v>
      </c>
      <c r="H32" s="23">
        <v>8266586</v>
      </c>
      <c r="I32" s="23">
        <v>39945981</v>
      </c>
      <c r="J32" s="23">
        <v>120088574</v>
      </c>
      <c r="K32" s="23">
        <v>0</v>
      </c>
      <c r="L32" s="23">
        <v>160034555</v>
      </c>
      <c r="M32" s="23">
        <v>-4219164</v>
      </c>
      <c r="N32" s="23">
        <v>5977402</v>
      </c>
      <c r="O32" s="23">
        <v>-15088714</v>
      </c>
      <c r="P32" s="23">
        <v>5292169</v>
      </c>
      <c r="Q32" s="23">
        <v>153096464</v>
      </c>
      <c r="R32" s="23">
        <v>33556428</v>
      </c>
      <c r="S32" s="23">
        <v>209620970</v>
      </c>
      <c r="T32" s="23">
        <v>-49586415</v>
      </c>
      <c r="U32" s="18">
        <f t="shared" si="1"/>
        <v>0</v>
      </c>
    </row>
    <row r="33" spans="1:21" ht="15" customHeight="1" x14ac:dyDescent="0.3">
      <c r="A33" s="19" t="s">
        <v>25</v>
      </c>
      <c r="B33" s="19" t="s">
        <v>26</v>
      </c>
      <c r="C33" s="20">
        <v>2022</v>
      </c>
      <c r="D33" s="21" t="str">
        <f t="shared" si="0"/>
        <v>CPC-2022</v>
      </c>
      <c r="E33" s="22" t="s">
        <v>276</v>
      </c>
      <c r="F33" s="23">
        <v>42489652</v>
      </c>
      <c r="G33" s="23">
        <v>-47363968</v>
      </c>
      <c r="H33" s="23">
        <v>4444260</v>
      </c>
      <c r="I33" s="23">
        <v>26673821</v>
      </c>
      <c r="J33" s="23">
        <v>114290527</v>
      </c>
      <c r="K33" s="23">
        <v>0</v>
      </c>
      <c r="L33" s="23">
        <v>140964348</v>
      </c>
      <c r="M33" s="23">
        <v>-4569682</v>
      </c>
      <c r="N33" s="23">
        <v>6022040</v>
      </c>
      <c r="O33" s="23">
        <v>-12058964</v>
      </c>
      <c r="P33" s="23">
        <v>255087</v>
      </c>
      <c r="Q33" s="23">
        <v>96013379</v>
      </c>
      <c r="R33" s="23">
        <v>1985300</v>
      </c>
      <c r="S33" s="23">
        <v>118770247</v>
      </c>
      <c r="T33" s="23">
        <v>22194101</v>
      </c>
      <c r="U33" s="18">
        <f t="shared" si="1"/>
        <v>0</v>
      </c>
    </row>
    <row r="34" spans="1:21" ht="15" customHeight="1" thickBot="1" x14ac:dyDescent="0.35">
      <c r="A34" s="46" t="s">
        <v>25</v>
      </c>
      <c r="B34" s="46" t="s">
        <v>26</v>
      </c>
      <c r="C34" s="47">
        <v>2023</v>
      </c>
      <c r="D34" s="48" t="str">
        <f t="shared" si="0"/>
        <v>CPC-2023</v>
      </c>
      <c r="E34" s="49" t="s">
        <v>276</v>
      </c>
      <c r="F34" s="50">
        <v>32344232</v>
      </c>
      <c r="G34" s="50">
        <v>-37047181</v>
      </c>
      <c r="H34" s="50">
        <v>2732688</v>
      </c>
      <c r="I34" s="50">
        <v>21540050</v>
      </c>
      <c r="J34" s="50">
        <v>109832309</v>
      </c>
      <c r="K34" s="50">
        <v>0</v>
      </c>
      <c r="L34" s="50">
        <v>131381359</v>
      </c>
      <c r="M34" s="50">
        <v>-3801534</v>
      </c>
      <c r="N34" s="50">
        <v>6046059</v>
      </c>
      <c r="O34" s="50">
        <v>-12348109</v>
      </c>
      <c r="P34" s="50">
        <v>18322197</v>
      </c>
      <c r="Q34" s="50">
        <v>98936650</v>
      </c>
      <c r="R34" s="50">
        <v>1622408</v>
      </c>
      <c r="S34" s="50">
        <v>121232333</v>
      </c>
      <c r="T34" s="50">
        <v>10149027</v>
      </c>
      <c r="U34" s="18">
        <f t="shared" si="1"/>
        <v>-1</v>
      </c>
    </row>
    <row r="35" spans="1:21" ht="15" customHeight="1" x14ac:dyDescent="0.3">
      <c r="A35" s="38" t="s">
        <v>28</v>
      </c>
      <c r="B35" s="38" t="s">
        <v>29</v>
      </c>
      <c r="C35" s="39">
        <v>2018</v>
      </c>
      <c r="D35" s="40" t="str">
        <f t="shared" si="0"/>
        <v>FML-2018</v>
      </c>
      <c r="E35" s="44" t="s">
        <v>274</v>
      </c>
      <c r="F35" s="37">
        <v>389507</v>
      </c>
      <c r="G35" s="37">
        <v>-240731</v>
      </c>
      <c r="H35" s="37">
        <v>12732</v>
      </c>
      <c r="I35" s="37">
        <v>129481</v>
      </c>
      <c r="J35" s="37">
        <v>196784</v>
      </c>
      <c r="K35" s="37">
        <v>0</v>
      </c>
      <c r="L35" s="37">
        <v>326402</v>
      </c>
      <c r="M35" s="37">
        <v>73878</v>
      </c>
      <c r="N35" s="37">
        <v>-4879</v>
      </c>
      <c r="O35" s="37">
        <v>12899</v>
      </c>
      <c r="P35" s="37">
        <v>64901</v>
      </c>
      <c r="Q35" s="37">
        <v>83247</v>
      </c>
      <c r="R35" s="37">
        <v>0</v>
      </c>
      <c r="S35" s="37">
        <v>91827</v>
      </c>
      <c r="T35" s="37">
        <v>234575</v>
      </c>
      <c r="U35" s="18">
        <f t="shared" si="1"/>
        <v>0</v>
      </c>
    </row>
    <row r="36" spans="1:21" ht="15" customHeight="1" x14ac:dyDescent="0.3">
      <c r="A36" s="19" t="s">
        <v>28</v>
      </c>
      <c r="B36" s="19" t="s">
        <v>29</v>
      </c>
      <c r="C36" s="20">
        <v>2019</v>
      </c>
      <c r="D36" s="21" t="str">
        <f t="shared" si="0"/>
        <v>FML-2019</v>
      </c>
      <c r="E36" s="22" t="s">
        <v>274</v>
      </c>
      <c r="F36" s="23">
        <v>428486</v>
      </c>
      <c r="G36" s="23">
        <v>-254210</v>
      </c>
      <c r="H36" s="23">
        <v>17664</v>
      </c>
      <c r="I36" s="23">
        <v>183846</v>
      </c>
      <c r="J36" s="23">
        <v>187380</v>
      </c>
      <c r="K36" s="23">
        <v>0</v>
      </c>
      <c r="L36" s="23">
        <v>375819</v>
      </c>
      <c r="M36" s="23">
        <v>50656</v>
      </c>
      <c r="N36" s="23">
        <v>-3070</v>
      </c>
      <c r="O36" s="23">
        <v>25016</v>
      </c>
      <c r="P36" s="23">
        <v>7984</v>
      </c>
      <c r="Q36" s="23">
        <v>101216</v>
      </c>
      <c r="R36" s="23">
        <v>0</v>
      </c>
      <c r="S36" s="23">
        <v>116228</v>
      </c>
      <c r="T36" s="23">
        <v>259591</v>
      </c>
      <c r="U36" s="18">
        <f t="shared" si="1"/>
        <v>0</v>
      </c>
    </row>
    <row r="37" spans="1:21" ht="15" customHeight="1" x14ac:dyDescent="0.3">
      <c r="A37" s="19" t="s">
        <v>28</v>
      </c>
      <c r="B37" s="19" t="s">
        <v>29</v>
      </c>
      <c r="C37" s="20">
        <v>2020</v>
      </c>
      <c r="D37" s="21" t="str">
        <f t="shared" ref="D37:D68" si="2">A37&amp;"-"&amp;C37</f>
        <v>FML-2020</v>
      </c>
      <c r="E37" s="22" t="s">
        <v>274</v>
      </c>
      <c r="F37" s="23">
        <v>373578</v>
      </c>
      <c r="G37" s="23">
        <v>-253604</v>
      </c>
      <c r="H37" s="23">
        <v>18900</v>
      </c>
      <c r="I37" s="23">
        <v>253718</v>
      </c>
      <c r="J37" s="23">
        <v>178315</v>
      </c>
      <c r="K37" s="23">
        <v>0</v>
      </c>
      <c r="L37" s="23">
        <v>436252</v>
      </c>
      <c r="M37" s="23">
        <v>-32556</v>
      </c>
      <c r="N37" s="23">
        <v>-3295</v>
      </c>
      <c r="O37" s="23">
        <v>514</v>
      </c>
      <c r="P37" s="23">
        <v>38255</v>
      </c>
      <c r="Q37" s="23">
        <v>164681</v>
      </c>
      <c r="R37" s="23">
        <v>0</v>
      </c>
      <c r="S37" s="23">
        <v>176147</v>
      </c>
      <c r="T37" s="23">
        <v>260105</v>
      </c>
      <c r="U37" s="18">
        <f t="shared" si="1"/>
        <v>0</v>
      </c>
    </row>
    <row r="38" spans="1:21" ht="15" customHeight="1" x14ac:dyDescent="0.3">
      <c r="A38" s="19" t="s">
        <v>28</v>
      </c>
      <c r="B38" s="19" t="s">
        <v>29</v>
      </c>
      <c r="C38" s="20">
        <v>2021</v>
      </c>
      <c r="D38" s="21" t="str">
        <f t="shared" si="2"/>
        <v>FML-2021</v>
      </c>
      <c r="E38" s="22" t="s">
        <v>274</v>
      </c>
      <c r="F38" s="23">
        <v>468095</v>
      </c>
      <c r="G38" s="23">
        <v>-344818</v>
      </c>
      <c r="H38" s="23">
        <v>28246</v>
      </c>
      <c r="I38" s="23">
        <v>374489</v>
      </c>
      <c r="J38" s="23">
        <v>191404</v>
      </c>
      <c r="K38" s="23">
        <v>0</v>
      </c>
      <c r="L38" s="23">
        <v>571562</v>
      </c>
      <c r="M38" s="23">
        <v>-47807</v>
      </c>
      <c r="N38" s="23">
        <v>-24069</v>
      </c>
      <c r="O38" s="23">
        <v>-13430</v>
      </c>
      <c r="P38" s="23">
        <v>13421</v>
      </c>
      <c r="Q38" s="23">
        <v>279274</v>
      </c>
      <c r="R38" s="23">
        <v>40000</v>
      </c>
      <c r="S38" s="23">
        <v>324887</v>
      </c>
      <c r="T38" s="23">
        <v>246675</v>
      </c>
      <c r="U38" s="18">
        <f t="shared" si="1"/>
        <v>0</v>
      </c>
    </row>
    <row r="39" spans="1:21" ht="15" customHeight="1" x14ac:dyDescent="0.3">
      <c r="A39" s="19" t="s">
        <v>28</v>
      </c>
      <c r="B39" s="19" t="s">
        <v>29</v>
      </c>
      <c r="C39" s="20">
        <v>2022</v>
      </c>
      <c r="D39" s="21" t="str">
        <f t="shared" si="2"/>
        <v>FML-2022</v>
      </c>
      <c r="E39" s="22" t="s">
        <v>274</v>
      </c>
      <c r="F39" s="23">
        <v>536938</v>
      </c>
      <c r="G39" s="23">
        <v>-421066</v>
      </c>
      <c r="H39" s="23">
        <v>55148</v>
      </c>
      <c r="I39" s="23">
        <v>393178</v>
      </c>
      <c r="J39" s="23">
        <v>174095</v>
      </c>
      <c r="K39" s="23">
        <v>0</v>
      </c>
      <c r="L39" s="23">
        <v>584060</v>
      </c>
      <c r="M39" s="23">
        <v>-51290</v>
      </c>
      <c r="N39" s="23">
        <v>-2612</v>
      </c>
      <c r="O39" s="23">
        <v>-41596</v>
      </c>
      <c r="P39" s="23">
        <v>-21838</v>
      </c>
      <c r="Q39" s="23">
        <v>302689</v>
      </c>
      <c r="R39" s="23">
        <v>70000</v>
      </c>
      <c r="S39" s="23">
        <v>378981</v>
      </c>
      <c r="T39" s="23">
        <v>205079</v>
      </c>
      <c r="U39" s="18">
        <f t="shared" si="1"/>
        <v>0</v>
      </c>
    </row>
    <row r="40" spans="1:21" ht="15" customHeight="1" thickBot="1" x14ac:dyDescent="0.35">
      <c r="A40" s="51" t="s">
        <v>28</v>
      </c>
      <c r="B40" s="51" t="s">
        <v>29</v>
      </c>
      <c r="C40" s="52">
        <v>2023</v>
      </c>
      <c r="D40" s="53" t="str">
        <f t="shared" si="2"/>
        <v>FML-2023</v>
      </c>
      <c r="E40" s="54" t="s">
        <v>274</v>
      </c>
      <c r="F40" s="55">
        <v>549916</v>
      </c>
      <c r="G40" s="55">
        <v>-378144</v>
      </c>
      <c r="H40" s="55">
        <v>52735</v>
      </c>
      <c r="I40" s="55">
        <v>422679</v>
      </c>
      <c r="J40" s="55">
        <v>153112</v>
      </c>
      <c r="K40" s="55">
        <v>0</v>
      </c>
      <c r="L40" s="55">
        <v>590250</v>
      </c>
      <c r="M40" s="55">
        <v>-37216</v>
      </c>
      <c r="N40" s="55">
        <v>-13529</v>
      </c>
      <c r="O40" s="55">
        <v>24012</v>
      </c>
      <c r="P40" s="55">
        <v>27215</v>
      </c>
      <c r="Q40" s="55">
        <v>300645</v>
      </c>
      <c r="R40" s="55">
        <v>55000</v>
      </c>
      <c r="S40" s="55">
        <v>361159</v>
      </c>
      <c r="T40" s="55">
        <v>229091</v>
      </c>
      <c r="U40" s="63">
        <f t="shared" si="1"/>
        <v>0</v>
      </c>
    </row>
    <row r="41" spans="1:21" ht="15" customHeight="1" x14ac:dyDescent="0.3">
      <c r="A41" s="56" t="s">
        <v>30</v>
      </c>
      <c r="B41" s="56" t="s">
        <v>31</v>
      </c>
      <c r="C41" s="57">
        <v>2018</v>
      </c>
      <c r="D41" s="58" t="str">
        <f t="shared" si="2"/>
        <v>GGBL-2018</v>
      </c>
      <c r="E41" s="44" t="s">
        <v>274</v>
      </c>
      <c r="F41" s="60">
        <v>623102</v>
      </c>
      <c r="G41" s="60">
        <v>-464781</v>
      </c>
      <c r="H41" s="60">
        <v>30822</v>
      </c>
      <c r="I41" s="60">
        <v>190864</v>
      </c>
      <c r="J41" s="60">
        <v>373208</v>
      </c>
      <c r="K41" s="60">
        <v>0</v>
      </c>
      <c r="L41" s="60">
        <v>567188</v>
      </c>
      <c r="M41" s="60">
        <v>-76491</v>
      </c>
      <c r="N41" s="60">
        <v>59297</v>
      </c>
      <c r="O41" s="60">
        <v>23855</v>
      </c>
      <c r="P41" s="60">
        <v>78962</v>
      </c>
      <c r="Q41" s="60">
        <v>127721</v>
      </c>
      <c r="R41" s="60">
        <v>108991</v>
      </c>
      <c r="S41" s="60">
        <v>272547</v>
      </c>
      <c r="T41" s="60">
        <v>294641</v>
      </c>
      <c r="U41" s="64">
        <f t="shared" si="1"/>
        <v>0</v>
      </c>
    </row>
    <row r="42" spans="1:21" ht="15" customHeight="1" x14ac:dyDescent="0.3">
      <c r="A42" s="19" t="s">
        <v>30</v>
      </c>
      <c r="B42" s="19" t="s">
        <v>31</v>
      </c>
      <c r="C42" s="20">
        <v>2019</v>
      </c>
      <c r="D42" s="21" t="str">
        <f t="shared" si="2"/>
        <v>GGBL-2019</v>
      </c>
      <c r="E42" s="22" t="s">
        <v>274</v>
      </c>
      <c r="F42" s="23">
        <v>684979</v>
      </c>
      <c r="G42" s="23">
        <v>-511023</v>
      </c>
      <c r="H42" s="23">
        <v>42637</v>
      </c>
      <c r="I42" s="23">
        <v>237097</v>
      </c>
      <c r="J42" s="23">
        <v>418655</v>
      </c>
      <c r="K42" s="23">
        <v>0</v>
      </c>
      <c r="L42" s="23">
        <v>658468</v>
      </c>
      <c r="M42" s="23">
        <v>-93348</v>
      </c>
      <c r="N42" s="23">
        <v>57293</v>
      </c>
      <c r="O42" s="23">
        <v>18046</v>
      </c>
      <c r="P42" s="23">
        <v>78030</v>
      </c>
      <c r="Q42" s="23">
        <v>210295</v>
      </c>
      <c r="R42" s="23">
        <v>109313</v>
      </c>
      <c r="S42" s="23">
        <v>357309</v>
      </c>
      <c r="T42" s="23">
        <v>301159</v>
      </c>
      <c r="U42" s="18">
        <f t="shared" si="1"/>
        <v>0</v>
      </c>
    </row>
    <row r="43" spans="1:21" ht="15" customHeight="1" x14ac:dyDescent="0.3">
      <c r="A43" s="19" t="s">
        <v>30</v>
      </c>
      <c r="B43" s="19" t="s">
        <v>31</v>
      </c>
      <c r="C43" s="20">
        <v>2020</v>
      </c>
      <c r="D43" s="21" t="str">
        <f t="shared" si="2"/>
        <v>GGBL-2020</v>
      </c>
      <c r="E43" s="22" t="s">
        <v>274</v>
      </c>
      <c r="F43" s="23">
        <v>732588</v>
      </c>
      <c r="G43" s="23">
        <v>-544759</v>
      </c>
      <c r="H43" s="23">
        <v>25237</v>
      </c>
      <c r="I43" s="23">
        <v>195224</v>
      </c>
      <c r="J43" s="23">
        <v>476247</v>
      </c>
      <c r="K43" s="23">
        <v>0</v>
      </c>
      <c r="L43" s="23">
        <v>720723</v>
      </c>
      <c r="M43" s="23">
        <v>-89023</v>
      </c>
      <c r="N43" s="23">
        <v>57293</v>
      </c>
      <c r="O43" s="23">
        <v>12157</v>
      </c>
      <c r="P43" s="23">
        <v>125503</v>
      </c>
      <c r="Q43" s="23">
        <v>244392</v>
      </c>
      <c r="R43" s="23">
        <v>109253</v>
      </c>
      <c r="S43" s="23">
        <v>416085</v>
      </c>
      <c r="T43" s="23">
        <v>304638</v>
      </c>
      <c r="U43" s="18">
        <f t="shared" si="1"/>
        <v>0</v>
      </c>
    </row>
    <row r="44" spans="1:21" ht="15" customHeight="1" x14ac:dyDescent="0.3">
      <c r="A44" s="19" t="s">
        <v>30</v>
      </c>
      <c r="B44" s="19" t="s">
        <v>31</v>
      </c>
      <c r="C44" s="20">
        <v>2021</v>
      </c>
      <c r="D44" s="21" t="str">
        <f t="shared" si="2"/>
        <v>GGBL-2021</v>
      </c>
      <c r="E44" s="22" t="s">
        <v>274</v>
      </c>
      <c r="F44" s="23">
        <v>1104436</v>
      </c>
      <c r="G44" s="23">
        <v>-786876</v>
      </c>
      <c r="H44" s="23">
        <v>51305</v>
      </c>
      <c r="I44" s="23">
        <v>299015</v>
      </c>
      <c r="J44" s="23">
        <v>540698</v>
      </c>
      <c r="K44" s="23">
        <v>0</v>
      </c>
      <c r="L44" s="23">
        <v>883615</v>
      </c>
      <c r="M44" s="23">
        <v>-81216</v>
      </c>
      <c r="N44" s="23">
        <v>62535</v>
      </c>
      <c r="O44" s="23">
        <v>71527</v>
      </c>
      <c r="P44" s="23">
        <v>154301</v>
      </c>
      <c r="Q44" s="23">
        <v>342499</v>
      </c>
      <c r="R44" s="23">
        <v>105577</v>
      </c>
      <c r="S44" s="23">
        <v>511781</v>
      </c>
      <c r="T44" s="23">
        <v>371834</v>
      </c>
      <c r="U44" s="18">
        <f t="shared" si="1"/>
        <v>0</v>
      </c>
    </row>
    <row r="45" spans="1:21" ht="15" customHeight="1" x14ac:dyDescent="0.3">
      <c r="A45" s="19" t="s">
        <v>30</v>
      </c>
      <c r="B45" s="19" t="s">
        <v>31</v>
      </c>
      <c r="C45" s="20">
        <v>2022</v>
      </c>
      <c r="D45" s="21" t="str">
        <f t="shared" si="2"/>
        <v>GGBL-2022</v>
      </c>
      <c r="E45" s="22" t="s">
        <v>274</v>
      </c>
      <c r="F45" s="23">
        <v>1298878</v>
      </c>
      <c r="G45" s="23">
        <v>-1045049</v>
      </c>
      <c r="H45" s="23">
        <v>51138</v>
      </c>
      <c r="I45" s="23">
        <v>423870</v>
      </c>
      <c r="J45" s="23">
        <v>610902</v>
      </c>
      <c r="K45" s="23">
        <v>0</v>
      </c>
      <c r="L45" s="23">
        <v>1075326</v>
      </c>
      <c r="M45" s="23">
        <v>-119861</v>
      </c>
      <c r="N45" s="23">
        <v>76855</v>
      </c>
      <c r="O45" s="23">
        <v>5288</v>
      </c>
      <c r="P45" s="23">
        <v>127551</v>
      </c>
      <c r="Q45" s="23">
        <v>548871</v>
      </c>
      <c r="R45" s="23">
        <v>105577</v>
      </c>
      <c r="S45" s="23">
        <v>724072</v>
      </c>
      <c r="T45" s="23">
        <v>351254</v>
      </c>
      <c r="U45" s="18">
        <f t="shared" si="1"/>
        <v>0</v>
      </c>
    </row>
    <row r="46" spans="1:21" ht="15" customHeight="1" thickBot="1" x14ac:dyDescent="0.35">
      <c r="A46" s="46" t="s">
        <v>30</v>
      </c>
      <c r="B46" s="46" t="s">
        <v>31</v>
      </c>
      <c r="C46" s="47">
        <v>2023</v>
      </c>
      <c r="D46" s="48" t="str">
        <f t="shared" si="2"/>
        <v>GGBL-2023</v>
      </c>
      <c r="E46" s="54" t="s">
        <v>274</v>
      </c>
      <c r="F46" s="50">
        <v>1766152</v>
      </c>
      <c r="G46" s="50">
        <v>-1423534</v>
      </c>
      <c r="H46" s="50">
        <v>71404</v>
      </c>
      <c r="I46" s="50">
        <v>652359</v>
      </c>
      <c r="J46" s="50">
        <v>775501</v>
      </c>
      <c r="K46" s="50">
        <v>0</v>
      </c>
      <c r="L46" s="50">
        <v>1448515</v>
      </c>
      <c r="M46" s="50">
        <v>-122253</v>
      </c>
      <c r="N46" s="50">
        <v>105736</v>
      </c>
      <c r="O46" s="50">
        <v>39525</v>
      </c>
      <c r="P46" s="50">
        <v>460082</v>
      </c>
      <c r="Q46" s="50">
        <v>893136</v>
      </c>
      <c r="R46" s="50">
        <v>105577</v>
      </c>
      <c r="S46" s="50">
        <v>1056712</v>
      </c>
      <c r="T46" s="50">
        <v>391803</v>
      </c>
      <c r="U46" s="65">
        <f t="shared" si="1"/>
        <v>0</v>
      </c>
    </row>
    <row r="47" spans="1:21" ht="15" customHeight="1" x14ac:dyDescent="0.3">
      <c r="A47" s="38" t="s">
        <v>32</v>
      </c>
      <c r="B47" s="38" t="s">
        <v>33</v>
      </c>
      <c r="C47" s="39">
        <v>2018</v>
      </c>
      <c r="D47" s="40" t="str">
        <f t="shared" si="2"/>
        <v>GOIL-2018</v>
      </c>
      <c r="E47" s="44" t="s">
        <v>274</v>
      </c>
      <c r="F47" s="37">
        <v>5091624</v>
      </c>
      <c r="G47" s="37">
        <v>-4804489</v>
      </c>
      <c r="H47" s="37">
        <v>464166</v>
      </c>
      <c r="I47" s="37">
        <v>766752</v>
      </c>
      <c r="J47" s="37">
        <v>570120</v>
      </c>
      <c r="K47" s="37">
        <v>0</v>
      </c>
      <c r="L47" s="37">
        <v>1345513</v>
      </c>
      <c r="M47" s="37">
        <v>-122837</v>
      </c>
      <c r="N47" s="37">
        <v>33496</v>
      </c>
      <c r="O47" s="37">
        <v>81947</v>
      </c>
      <c r="P47" s="37">
        <v>152912</v>
      </c>
      <c r="Q47" s="37">
        <v>839769</v>
      </c>
      <c r="R47" s="37">
        <v>49901</v>
      </c>
      <c r="S47" s="37">
        <v>906864</v>
      </c>
      <c r="T47" s="37">
        <v>438649</v>
      </c>
      <c r="U47" s="62">
        <f t="shared" si="1"/>
        <v>0</v>
      </c>
    </row>
    <row r="48" spans="1:21" ht="15" customHeight="1" x14ac:dyDescent="0.3">
      <c r="A48" s="19" t="s">
        <v>32</v>
      </c>
      <c r="B48" s="19" t="s">
        <v>33</v>
      </c>
      <c r="C48" s="20">
        <v>2019</v>
      </c>
      <c r="D48" s="21" t="str">
        <f t="shared" si="2"/>
        <v>GOIL-2019</v>
      </c>
      <c r="E48" s="22" t="s">
        <v>274</v>
      </c>
      <c r="F48" s="23">
        <v>6264665</v>
      </c>
      <c r="G48" s="23">
        <v>-5894510</v>
      </c>
      <c r="H48" s="23">
        <v>574127</v>
      </c>
      <c r="I48" s="23">
        <v>984195</v>
      </c>
      <c r="J48" s="23">
        <v>724632</v>
      </c>
      <c r="K48" s="23">
        <v>0</v>
      </c>
      <c r="L48" s="23">
        <v>1716297</v>
      </c>
      <c r="M48" s="23">
        <v>-154084</v>
      </c>
      <c r="N48" s="23">
        <v>49447</v>
      </c>
      <c r="O48" s="23">
        <v>105512</v>
      </c>
      <c r="P48" s="23">
        <v>136960</v>
      </c>
      <c r="Q48" s="23">
        <v>1050694</v>
      </c>
      <c r="R48" s="23">
        <v>117913</v>
      </c>
      <c r="S48" s="23">
        <v>1188145</v>
      </c>
      <c r="T48" s="23">
        <v>528152</v>
      </c>
      <c r="U48" s="18">
        <f t="shared" si="1"/>
        <v>0</v>
      </c>
    </row>
    <row r="49" spans="1:21" ht="15" customHeight="1" x14ac:dyDescent="0.3">
      <c r="A49" s="19" t="s">
        <v>32</v>
      </c>
      <c r="B49" s="19" t="s">
        <v>33</v>
      </c>
      <c r="C49" s="20">
        <v>2020</v>
      </c>
      <c r="D49" s="21" t="str">
        <f t="shared" si="2"/>
        <v>GOIL-2020</v>
      </c>
      <c r="E49" s="22" t="s">
        <v>274</v>
      </c>
      <c r="F49" s="23">
        <v>4838010</v>
      </c>
      <c r="G49" s="23">
        <v>-4469209</v>
      </c>
      <c r="H49" s="23">
        <v>706454</v>
      </c>
      <c r="I49" s="23">
        <v>1075276</v>
      </c>
      <c r="J49" s="23">
        <v>1016887</v>
      </c>
      <c r="K49" s="23">
        <v>0</v>
      </c>
      <c r="L49" s="23">
        <v>2101141</v>
      </c>
      <c r="M49" s="23">
        <v>-176739</v>
      </c>
      <c r="N49" s="23">
        <v>45389</v>
      </c>
      <c r="O49" s="23">
        <v>90207</v>
      </c>
      <c r="P49" s="23">
        <v>182893</v>
      </c>
      <c r="Q49" s="23">
        <v>1301807</v>
      </c>
      <c r="R49" s="23">
        <v>180592</v>
      </c>
      <c r="S49" s="23">
        <v>1500117</v>
      </c>
      <c r="T49" s="23">
        <v>601024</v>
      </c>
      <c r="U49" s="18">
        <f t="shared" si="1"/>
        <v>0</v>
      </c>
    </row>
    <row r="50" spans="1:21" ht="15" customHeight="1" x14ac:dyDescent="0.3">
      <c r="A50" s="19" t="s">
        <v>32</v>
      </c>
      <c r="B50" s="19" t="s">
        <v>33</v>
      </c>
      <c r="C50" s="20">
        <v>2021</v>
      </c>
      <c r="D50" s="21" t="str">
        <f t="shared" si="2"/>
        <v>GOIL-2021</v>
      </c>
      <c r="E50" s="22" t="s">
        <v>274</v>
      </c>
      <c r="F50" s="23">
        <v>7536824</v>
      </c>
      <c r="G50" s="23">
        <v>-7081710</v>
      </c>
      <c r="H50" s="23">
        <v>764053</v>
      </c>
      <c r="I50" s="23">
        <v>1271755</v>
      </c>
      <c r="J50" s="23">
        <v>1213045</v>
      </c>
      <c r="K50" s="23">
        <v>0</v>
      </c>
      <c r="L50" s="23">
        <v>2497227</v>
      </c>
      <c r="M50" s="23">
        <v>-234883</v>
      </c>
      <c r="N50" s="23">
        <v>51510</v>
      </c>
      <c r="O50" s="23">
        <v>98740</v>
      </c>
      <c r="P50" s="23">
        <v>419642</v>
      </c>
      <c r="Q50" s="23">
        <v>1670144</v>
      </c>
      <c r="R50" s="23">
        <v>122078</v>
      </c>
      <c r="S50" s="23">
        <v>1812818</v>
      </c>
      <c r="T50" s="23">
        <v>684409</v>
      </c>
      <c r="U50" s="18">
        <f t="shared" si="1"/>
        <v>0</v>
      </c>
    </row>
    <row r="51" spans="1:21" ht="15" customHeight="1" x14ac:dyDescent="0.3">
      <c r="A51" s="19" t="s">
        <v>32</v>
      </c>
      <c r="B51" s="19" t="s">
        <v>33</v>
      </c>
      <c r="C51" s="20">
        <v>2022</v>
      </c>
      <c r="D51" s="21" t="str">
        <f t="shared" si="2"/>
        <v>GOIL-2022</v>
      </c>
      <c r="E51" s="22" t="s">
        <v>274</v>
      </c>
      <c r="F51" s="23">
        <v>20744046</v>
      </c>
      <c r="G51" s="23">
        <v>-20104861</v>
      </c>
      <c r="H51" s="23">
        <v>1669678</v>
      </c>
      <c r="I51" s="23">
        <v>3170497</v>
      </c>
      <c r="J51" s="23">
        <v>1422560</v>
      </c>
      <c r="K51" s="23">
        <v>0</v>
      </c>
      <c r="L51" s="23">
        <v>4609544</v>
      </c>
      <c r="M51" s="23">
        <v>-359956</v>
      </c>
      <c r="N51" s="23">
        <v>63992</v>
      </c>
      <c r="O51" s="23">
        <v>123894</v>
      </c>
      <c r="P51" s="23">
        <v>652700</v>
      </c>
      <c r="Q51" s="23">
        <v>3710849</v>
      </c>
      <c r="R51" s="23">
        <v>86291</v>
      </c>
      <c r="S51" s="23">
        <v>3820720</v>
      </c>
      <c r="T51" s="23">
        <v>788824</v>
      </c>
      <c r="U51" s="18">
        <f t="shared" si="1"/>
        <v>0</v>
      </c>
    </row>
    <row r="52" spans="1:21" ht="15" customHeight="1" thickBot="1" x14ac:dyDescent="0.35">
      <c r="A52" s="51" t="s">
        <v>32</v>
      </c>
      <c r="B52" s="51" t="s">
        <v>33</v>
      </c>
      <c r="C52" s="52">
        <v>2023</v>
      </c>
      <c r="D52" s="53" t="str">
        <f t="shared" si="2"/>
        <v>GOIL-2023</v>
      </c>
      <c r="E52" s="54" t="s">
        <v>274</v>
      </c>
      <c r="F52" s="55">
        <v>20606778</v>
      </c>
      <c r="G52" s="55">
        <v>-19898015</v>
      </c>
      <c r="H52" s="55">
        <v>1261080</v>
      </c>
      <c r="I52" s="55">
        <v>2348951</v>
      </c>
      <c r="J52" s="55">
        <v>1630013</v>
      </c>
      <c r="K52" s="55">
        <v>0</v>
      </c>
      <c r="L52" s="55">
        <v>4002542</v>
      </c>
      <c r="M52" s="55">
        <v>-444890</v>
      </c>
      <c r="N52" s="55">
        <v>69439</v>
      </c>
      <c r="O52" s="55">
        <v>54706</v>
      </c>
      <c r="P52" s="55">
        <v>50924</v>
      </c>
      <c r="Q52" s="55">
        <v>3088402</v>
      </c>
      <c r="R52" s="55">
        <v>62223</v>
      </c>
      <c r="S52" s="55">
        <v>3175753</v>
      </c>
      <c r="T52" s="55">
        <v>826789</v>
      </c>
      <c r="U52" s="63">
        <f t="shared" si="1"/>
        <v>0</v>
      </c>
    </row>
    <row r="53" spans="1:21" ht="15" customHeight="1" x14ac:dyDescent="0.3">
      <c r="A53" s="56" t="s">
        <v>35</v>
      </c>
      <c r="B53" s="56" t="s">
        <v>36</v>
      </c>
      <c r="C53" s="57">
        <v>2018</v>
      </c>
      <c r="D53" s="58" t="str">
        <f t="shared" si="2"/>
        <v>MTNGH-2018</v>
      </c>
      <c r="E53" s="44" t="s">
        <v>274</v>
      </c>
      <c r="F53" s="60">
        <v>4218847</v>
      </c>
      <c r="G53" s="60">
        <v>-1358126</v>
      </c>
      <c r="H53" s="60">
        <v>370038</v>
      </c>
      <c r="I53" s="60">
        <v>1156334</v>
      </c>
      <c r="J53" s="60">
        <v>3060546</v>
      </c>
      <c r="K53" s="60">
        <v>0</v>
      </c>
      <c r="L53" s="60">
        <v>4216880</v>
      </c>
      <c r="M53" s="60">
        <v>-1273092</v>
      </c>
      <c r="N53" s="60">
        <v>-463567</v>
      </c>
      <c r="O53" s="60">
        <v>754676</v>
      </c>
      <c r="P53" s="60">
        <v>-203589</v>
      </c>
      <c r="Q53" s="60">
        <v>1153398</v>
      </c>
      <c r="R53" s="60">
        <v>338854</v>
      </c>
      <c r="S53" s="60">
        <v>1806488</v>
      </c>
      <c r="T53" s="60">
        <v>2410392</v>
      </c>
      <c r="U53" s="64">
        <f>IF(OR(L53="",S53="",T53=""),"",L53-S53-T53)</f>
        <v>0</v>
      </c>
    </row>
    <row r="54" spans="1:21" ht="15" customHeight="1" x14ac:dyDescent="0.3">
      <c r="A54" s="19" t="s">
        <v>35</v>
      </c>
      <c r="B54" s="19" t="s">
        <v>36</v>
      </c>
      <c r="C54" s="20">
        <v>2019</v>
      </c>
      <c r="D54" s="21" t="str">
        <f t="shared" si="2"/>
        <v>MTNGH-2019</v>
      </c>
      <c r="E54" s="22" t="s">
        <v>274</v>
      </c>
      <c r="F54" s="23">
        <v>5181836</v>
      </c>
      <c r="G54" s="23">
        <v>-1005610</v>
      </c>
      <c r="H54" s="23">
        <v>378431</v>
      </c>
      <c r="I54" s="23">
        <v>4796628</v>
      </c>
      <c r="J54" s="23">
        <v>5162022</v>
      </c>
      <c r="K54" s="23">
        <v>0</v>
      </c>
      <c r="L54" s="23">
        <v>9958650</v>
      </c>
      <c r="M54" s="23">
        <v>-1545793</v>
      </c>
      <c r="N54" s="23">
        <v>-801544</v>
      </c>
      <c r="O54" s="23">
        <v>1007958</v>
      </c>
      <c r="P54" s="23">
        <v>940283</v>
      </c>
      <c r="Q54" s="23">
        <v>5020624</v>
      </c>
      <c r="R54" s="23">
        <v>225421</v>
      </c>
      <c r="S54" s="23">
        <v>7154824</v>
      </c>
      <c r="T54" s="23">
        <v>2803826</v>
      </c>
      <c r="U54" s="18">
        <f t="shared" si="1"/>
        <v>0</v>
      </c>
    </row>
    <row r="55" spans="1:21" ht="15" customHeight="1" x14ac:dyDescent="0.3">
      <c r="A55" s="19" t="s">
        <v>35</v>
      </c>
      <c r="B55" s="19" t="s">
        <v>36</v>
      </c>
      <c r="C55" s="20">
        <v>2020</v>
      </c>
      <c r="D55" s="21" t="str">
        <f t="shared" si="2"/>
        <v>MTNGH-2020</v>
      </c>
      <c r="E55" s="22" t="s">
        <v>274</v>
      </c>
      <c r="F55" s="23">
        <v>6033428</v>
      </c>
      <c r="G55" s="23">
        <v>-1110488</v>
      </c>
      <c r="H55" s="23">
        <v>475078</v>
      </c>
      <c r="I55" s="23">
        <v>8441851</v>
      </c>
      <c r="J55" s="23">
        <v>5775966</v>
      </c>
      <c r="K55" s="23">
        <v>0</v>
      </c>
      <c r="L55" s="23">
        <v>14217817</v>
      </c>
      <c r="M55" s="23">
        <v>-1757506</v>
      </c>
      <c r="N55" s="23">
        <v>-877453</v>
      </c>
      <c r="O55" s="23">
        <v>1394895</v>
      </c>
      <c r="P55" s="23">
        <v>959534</v>
      </c>
      <c r="Q55" s="23">
        <v>8763908</v>
      </c>
      <c r="R55" s="23">
        <v>557093</v>
      </c>
      <c r="S55" s="23">
        <v>10878630</v>
      </c>
      <c r="T55" s="23">
        <v>3339187</v>
      </c>
      <c r="U55" s="18">
        <f t="shared" si="1"/>
        <v>0</v>
      </c>
    </row>
    <row r="56" spans="1:21" ht="15" customHeight="1" x14ac:dyDescent="0.3">
      <c r="A56" s="19" t="s">
        <v>35</v>
      </c>
      <c r="B56" s="19" t="s">
        <v>36</v>
      </c>
      <c r="C56" s="20">
        <v>2021</v>
      </c>
      <c r="D56" s="21" t="str">
        <f t="shared" si="2"/>
        <v>MTNGH-2021</v>
      </c>
      <c r="E56" s="22" t="s">
        <v>274</v>
      </c>
      <c r="F56" s="23">
        <v>7723259</v>
      </c>
      <c r="G56" s="23">
        <v>-1358180</v>
      </c>
      <c r="H56" s="23">
        <v>568461</v>
      </c>
      <c r="I56" s="23">
        <v>11367783</v>
      </c>
      <c r="J56" s="23">
        <v>3906148</v>
      </c>
      <c r="K56" s="23">
        <v>0</v>
      </c>
      <c r="L56" s="23">
        <v>17525409</v>
      </c>
      <c r="M56" s="23">
        <v>-2115695</v>
      </c>
      <c r="N56" s="23">
        <v>-1035557</v>
      </c>
      <c r="O56" s="23">
        <v>2001383</v>
      </c>
      <c r="P56" s="23">
        <v>2290809</v>
      </c>
      <c r="Q56" s="23">
        <v>10951123</v>
      </c>
      <c r="R56" s="23">
        <v>369774</v>
      </c>
      <c r="S56" s="23">
        <v>13162111</v>
      </c>
      <c r="T56" s="23">
        <v>4363298</v>
      </c>
      <c r="U56" s="18">
        <f t="shared" si="1"/>
        <v>0</v>
      </c>
    </row>
    <row r="57" spans="1:21" ht="15" customHeight="1" x14ac:dyDescent="0.3">
      <c r="A57" s="19" t="s">
        <v>35</v>
      </c>
      <c r="B57" s="19" t="s">
        <v>36</v>
      </c>
      <c r="C57" s="20">
        <v>2022</v>
      </c>
      <c r="D57" s="21" t="str">
        <f t="shared" si="2"/>
        <v>MTNGH-2022</v>
      </c>
      <c r="E57" s="22" t="s">
        <v>274</v>
      </c>
      <c r="F57" s="23">
        <v>9916109</v>
      </c>
      <c r="G57" s="23">
        <v>-1549732</v>
      </c>
      <c r="H57" s="23">
        <v>773373</v>
      </c>
      <c r="I57" s="23">
        <v>14922113</v>
      </c>
      <c r="J57" s="23">
        <v>4981038</v>
      </c>
      <c r="K57" s="23">
        <v>20000</v>
      </c>
      <c r="L57" s="23">
        <v>22063875</v>
      </c>
      <c r="M57" s="23">
        <v>-2803497</v>
      </c>
      <c r="N57" s="23">
        <v>-1198679</v>
      </c>
      <c r="O57" s="23">
        <v>2855801</v>
      </c>
      <c r="P57" s="23">
        <v>3471515</v>
      </c>
      <c r="Q57" s="23">
        <v>14206699</v>
      </c>
      <c r="R57" s="23">
        <v>222318</v>
      </c>
      <c r="S57" s="23">
        <v>16354175</v>
      </c>
      <c r="T57" s="23">
        <v>5709700</v>
      </c>
      <c r="U57" s="18">
        <f t="shared" si="1"/>
        <v>0</v>
      </c>
    </row>
    <row r="58" spans="1:21" ht="15" customHeight="1" thickBot="1" x14ac:dyDescent="0.35">
      <c r="A58" s="46" t="s">
        <v>35</v>
      </c>
      <c r="B58" s="46" t="s">
        <v>36</v>
      </c>
      <c r="C58" s="47">
        <v>2023</v>
      </c>
      <c r="D58" s="48" t="str">
        <f t="shared" si="2"/>
        <v>MTNGH-2023</v>
      </c>
      <c r="E58" s="54" t="s">
        <v>274</v>
      </c>
      <c r="F58" s="50">
        <v>13349471</v>
      </c>
      <c r="G58" s="50">
        <v>-2280410</v>
      </c>
      <c r="H58" s="50">
        <v>1020917</v>
      </c>
      <c r="I58" s="50">
        <v>21410005</v>
      </c>
      <c r="J58" s="50">
        <v>6432554</v>
      </c>
      <c r="K58" s="50">
        <v>20000</v>
      </c>
      <c r="L58" s="50">
        <v>30958441</v>
      </c>
      <c r="M58" s="50">
        <v>-3270056</v>
      </c>
      <c r="N58" s="50">
        <v>-1724598</v>
      </c>
      <c r="O58" s="50">
        <v>3982250</v>
      </c>
      <c r="P58" s="50">
        <v>7867054</v>
      </c>
      <c r="Q58" s="50">
        <v>19635869</v>
      </c>
      <c r="R58" s="50">
        <v>73422</v>
      </c>
      <c r="S58" s="50">
        <v>22339367</v>
      </c>
      <c r="T58" s="50">
        <v>8619074</v>
      </c>
      <c r="U58" s="65">
        <f t="shared" si="1"/>
        <v>0</v>
      </c>
    </row>
    <row r="59" spans="1:21" ht="15" customHeight="1" x14ac:dyDescent="0.3">
      <c r="A59" s="38" t="s">
        <v>38</v>
      </c>
      <c r="B59" s="38" t="s">
        <v>39</v>
      </c>
      <c r="C59" s="39">
        <v>2018</v>
      </c>
      <c r="D59" s="40" t="str">
        <f t="shared" si="2"/>
        <v>PBC-2018</v>
      </c>
      <c r="E59" s="44" t="s">
        <v>274</v>
      </c>
      <c r="F59" s="37">
        <v>1830507</v>
      </c>
      <c r="G59" s="37">
        <v>-1647318</v>
      </c>
      <c r="H59" s="37">
        <v>122980</v>
      </c>
      <c r="I59" s="37">
        <v>292812</v>
      </c>
      <c r="J59" s="37">
        <v>374640</v>
      </c>
      <c r="K59" s="37">
        <v>0</v>
      </c>
      <c r="L59" s="37">
        <v>672534</v>
      </c>
      <c r="M59" s="37">
        <v>-153972</v>
      </c>
      <c r="N59" s="37">
        <v>28436</v>
      </c>
      <c r="O59" s="37">
        <v>-174447</v>
      </c>
      <c r="P59" s="37">
        <v>128176</v>
      </c>
      <c r="Q59" s="37">
        <v>503938</v>
      </c>
      <c r="R59" s="37">
        <v>293666</v>
      </c>
      <c r="S59" s="37">
        <v>810163</v>
      </c>
      <c r="T59" s="37">
        <v>-137629</v>
      </c>
      <c r="U59" s="62">
        <f>IF(OR(L59="",S59="",T59=""),"",L59-S59-T59)</f>
        <v>0</v>
      </c>
    </row>
    <row r="60" spans="1:21" ht="15" customHeight="1" x14ac:dyDescent="0.3">
      <c r="A60" s="19" t="s">
        <v>38</v>
      </c>
      <c r="B60" s="19" t="s">
        <v>39</v>
      </c>
      <c r="C60" s="20">
        <v>2019</v>
      </c>
      <c r="D60" s="21" t="str">
        <f t="shared" si="2"/>
        <v>PBC-2019</v>
      </c>
      <c r="E60" s="22" t="s">
        <v>274</v>
      </c>
      <c r="F60" s="23">
        <v>1162861</v>
      </c>
      <c r="G60" s="23">
        <v>-1050775</v>
      </c>
      <c r="H60" s="23">
        <v>11455</v>
      </c>
      <c r="I60" s="23">
        <v>209165</v>
      </c>
      <c r="J60" s="23">
        <v>362521</v>
      </c>
      <c r="K60" s="23">
        <v>1868</v>
      </c>
      <c r="L60" s="23">
        <v>578641</v>
      </c>
      <c r="M60" s="23">
        <v>-100718</v>
      </c>
      <c r="N60" s="23">
        <v>26252</v>
      </c>
      <c r="O60" s="23">
        <v>146816</v>
      </c>
      <c r="P60" s="23">
        <v>149316</v>
      </c>
      <c r="Q60" s="23">
        <v>189415</v>
      </c>
      <c r="R60" s="23">
        <v>558739</v>
      </c>
      <c r="S60" s="23">
        <v>748567</v>
      </c>
      <c r="T60" s="23">
        <v>-169926</v>
      </c>
      <c r="U60" s="18">
        <f t="shared" si="1"/>
        <v>0</v>
      </c>
    </row>
    <row r="61" spans="1:21" ht="15" customHeight="1" x14ac:dyDescent="0.3">
      <c r="A61" s="19" t="s">
        <v>38</v>
      </c>
      <c r="B61" s="19" t="s">
        <v>39</v>
      </c>
      <c r="C61" s="20">
        <v>2020</v>
      </c>
      <c r="D61" s="21" t="str">
        <f t="shared" si="2"/>
        <v>PBC-2020</v>
      </c>
      <c r="E61" s="22" t="s">
        <v>274</v>
      </c>
      <c r="F61" s="23">
        <v>1001069</v>
      </c>
      <c r="G61" s="23">
        <v>-893187</v>
      </c>
      <c r="H61" s="23">
        <v>3907</v>
      </c>
      <c r="I61" s="23">
        <v>252748</v>
      </c>
      <c r="J61" s="23">
        <v>339108</v>
      </c>
      <c r="K61" s="23">
        <v>0</v>
      </c>
      <c r="L61" s="23">
        <v>597073</v>
      </c>
      <c r="M61" s="23">
        <v>-119769</v>
      </c>
      <c r="N61" s="23">
        <v>25298</v>
      </c>
      <c r="O61" s="23">
        <v>-7438</v>
      </c>
      <c r="P61" s="23">
        <v>130295</v>
      </c>
      <c r="Q61" s="23">
        <v>264322</v>
      </c>
      <c r="R61" s="23">
        <v>504299</v>
      </c>
      <c r="S61" s="23">
        <v>773184</v>
      </c>
      <c r="T61" s="23">
        <v>-176110</v>
      </c>
      <c r="U61" s="18">
        <f t="shared" si="1"/>
        <v>-1</v>
      </c>
    </row>
    <row r="62" spans="1:21" ht="15" customHeight="1" x14ac:dyDescent="0.3">
      <c r="A62" s="19" t="s">
        <v>38</v>
      </c>
      <c r="B62" s="19" t="s">
        <v>39</v>
      </c>
      <c r="C62" s="20">
        <v>2021</v>
      </c>
      <c r="D62" s="21" t="str">
        <f t="shared" si="2"/>
        <v>PBC-2021</v>
      </c>
      <c r="E62" s="22" t="s">
        <v>274</v>
      </c>
      <c r="F62" s="23">
        <v>1255600</v>
      </c>
      <c r="G62" s="23">
        <v>-1136231</v>
      </c>
      <c r="H62" s="23">
        <v>4079</v>
      </c>
      <c r="I62" s="23">
        <v>114825</v>
      </c>
      <c r="J62" s="23">
        <v>305869</v>
      </c>
      <c r="K62" s="23">
        <v>0</v>
      </c>
      <c r="L62" s="23">
        <v>424924</v>
      </c>
      <c r="M62" s="23">
        <v>-110940</v>
      </c>
      <c r="N62" s="23">
        <v>18893</v>
      </c>
      <c r="O62" s="23">
        <v>-5654</v>
      </c>
      <c r="P62" s="23">
        <v>27873</v>
      </c>
      <c r="Q62" s="23">
        <v>287321</v>
      </c>
      <c r="R62" s="23">
        <v>448298</v>
      </c>
      <c r="S62" s="23">
        <v>740556</v>
      </c>
      <c r="T62" s="23">
        <v>-315632</v>
      </c>
      <c r="U62" s="18">
        <f t="shared" si="1"/>
        <v>0</v>
      </c>
    </row>
    <row r="63" spans="1:21" ht="15" customHeight="1" x14ac:dyDescent="0.3">
      <c r="A63" s="19" t="s">
        <v>38</v>
      </c>
      <c r="B63" s="19" t="s">
        <v>39</v>
      </c>
      <c r="C63" s="20">
        <v>2022</v>
      </c>
      <c r="D63" s="21" t="str">
        <f t="shared" si="2"/>
        <v>PBC-2022</v>
      </c>
      <c r="E63" s="22" t="s">
        <v>274</v>
      </c>
      <c r="F63" s="23">
        <v>636383</v>
      </c>
      <c r="G63" s="23">
        <v>-561016</v>
      </c>
      <c r="H63" s="23">
        <v>7650</v>
      </c>
      <c r="I63" s="23">
        <v>64315</v>
      </c>
      <c r="J63" s="23">
        <v>299369</v>
      </c>
      <c r="K63" s="23">
        <v>0</v>
      </c>
      <c r="L63" s="23">
        <v>366840</v>
      </c>
      <c r="M63" s="23">
        <v>-87394</v>
      </c>
      <c r="N63" s="23">
        <v>20319</v>
      </c>
      <c r="O63" s="23">
        <v>-30596</v>
      </c>
      <c r="P63" s="23">
        <v>102119</v>
      </c>
      <c r="Q63" s="23">
        <v>316309</v>
      </c>
      <c r="R63" s="23">
        <v>392298</v>
      </c>
      <c r="S63" s="23">
        <v>714071</v>
      </c>
      <c r="T63" s="23">
        <v>-347232</v>
      </c>
      <c r="U63" s="18">
        <f t="shared" si="1"/>
        <v>1</v>
      </c>
    </row>
    <row r="64" spans="1:21" ht="15" customHeight="1" thickBot="1" x14ac:dyDescent="0.35">
      <c r="A64" s="51" t="s">
        <v>38</v>
      </c>
      <c r="B64" s="51" t="s">
        <v>39</v>
      </c>
      <c r="C64" s="52">
        <v>2023</v>
      </c>
      <c r="D64" s="53" t="str">
        <f t="shared" si="2"/>
        <v>PBC-2023</v>
      </c>
      <c r="E64" s="54" t="s">
        <v>274</v>
      </c>
      <c r="F64" s="55">
        <v>778852</v>
      </c>
      <c r="G64" s="55">
        <v>-689545</v>
      </c>
      <c r="H64" s="55">
        <v>0</v>
      </c>
      <c r="I64" s="55">
        <v>68537</v>
      </c>
      <c r="J64" s="55">
        <v>281258</v>
      </c>
      <c r="K64" s="55">
        <v>0</v>
      </c>
      <c r="L64" s="55">
        <v>352929</v>
      </c>
      <c r="M64" s="55">
        <v>-89023</v>
      </c>
      <c r="N64" s="55">
        <v>19231</v>
      </c>
      <c r="O64" s="55">
        <v>-34109</v>
      </c>
      <c r="P64" s="55">
        <v>47655</v>
      </c>
      <c r="Q64" s="55">
        <v>332199</v>
      </c>
      <c r="R64" s="55">
        <v>377656</v>
      </c>
      <c r="S64" s="55">
        <v>734270</v>
      </c>
      <c r="T64" s="55">
        <v>-381340</v>
      </c>
      <c r="U64" s="63">
        <f t="shared" si="1"/>
        <v>-1</v>
      </c>
    </row>
    <row r="65" spans="1:21" ht="15" customHeight="1" x14ac:dyDescent="0.3">
      <c r="A65" s="56" t="s">
        <v>40</v>
      </c>
      <c r="B65" s="56" t="s">
        <v>41</v>
      </c>
      <c r="C65" s="57">
        <v>2018</v>
      </c>
      <c r="D65" s="58" t="str">
        <f t="shared" si="2"/>
        <v>TOTAL-2018</v>
      </c>
      <c r="E65" s="44" t="s">
        <v>274</v>
      </c>
      <c r="F65" s="60">
        <v>2381106</v>
      </c>
      <c r="G65" s="60">
        <v>-2156637</v>
      </c>
      <c r="H65" s="60">
        <v>263893</v>
      </c>
      <c r="I65" s="60">
        <v>455879</v>
      </c>
      <c r="J65" s="60">
        <v>314724</v>
      </c>
      <c r="K65" s="60">
        <v>3475</v>
      </c>
      <c r="L65" s="60">
        <v>845453</v>
      </c>
      <c r="M65" s="60">
        <v>-158182</v>
      </c>
      <c r="N65" s="60">
        <v>35784</v>
      </c>
      <c r="O65" s="60">
        <v>43265</v>
      </c>
      <c r="P65" s="60">
        <v>101551</v>
      </c>
      <c r="Q65" s="60">
        <v>594123</v>
      </c>
      <c r="R65" s="60">
        <v>54126</v>
      </c>
      <c r="S65" s="60">
        <v>655618</v>
      </c>
      <c r="T65" s="60">
        <v>189835</v>
      </c>
      <c r="U65" s="64">
        <f t="shared" si="1"/>
        <v>0</v>
      </c>
    </row>
    <row r="66" spans="1:21" ht="15" customHeight="1" x14ac:dyDescent="0.3">
      <c r="A66" s="19" t="s">
        <v>40</v>
      </c>
      <c r="B66" s="19" t="s">
        <v>41</v>
      </c>
      <c r="C66" s="20">
        <v>2019</v>
      </c>
      <c r="D66" s="21" t="str">
        <f t="shared" si="2"/>
        <v>TOTAL-2019</v>
      </c>
      <c r="E66" s="22" t="s">
        <v>274</v>
      </c>
      <c r="F66" s="23">
        <v>2628610</v>
      </c>
      <c r="G66" s="23">
        <v>-2346176</v>
      </c>
      <c r="H66" s="23">
        <v>254438</v>
      </c>
      <c r="I66" s="23">
        <v>427554</v>
      </c>
      <c r="J66" s="23">
        <v>360687</v>
      </c>
      <c r="K66" s="23">
        <v>3451</v>
      </c>
      <c r="L66" s="23">
        <v>879627</v>
      </c>
      <c r="M66" s="23">
        <v>-186778</v>
      </c>
      <c r="N66" s="23">
        <v>49891</v>
      </c>
      <c r="O66" s="23">
        <v>68782</v>
      </c>
      <c r="P66" s="23">
        <v>98937</v>
      </c>
      <c r="Q66" s="23">
        <v>551951</v>
      </c>
      <c r="R66" s="23">
        <v>61308</v>
      </c>
      <c r="S66" s="23">
        <v>627594</v>
      </c>
      <c r="T66" s="23">
        <v>252033</v>
      </c>
      <c r="U66" s="18">
        <f t="shared" si="1"/>
        <v>0</v>
      </c>
    </row>
    <row r="67" spans="1:21" ht="15" customHeight="1" x14ac:dyDescent="0.3">
      <c r="A67" s="19" t="s">
        <v>40</v>
      </c>
      <c r="B67" s="19" t="s">
        <v>41</v>
      </c>
      <c r="C67" s="20">
        <v>2020</v>
      </c>
      <c r="D67" s="21" t="str">
        <f t="shared" si="2"/>
        <v>TOTAL-2020</v>
      </c>
      <c r="E67" s="22" t="s">
        <v>274</v>
      </c>
      <c r="F67" s="23">
        <v>2394002</v>
      </c>
      <c r="G67" s="23">
        <v>-2045084</v>
      </c>
      <c r="H67" s="23">
        <v>199594</v>
      </c>
      <c r="I67" s="23">
        <v>453536</v>
      </c>
      <c r="J67" s="23">
        <v>361855</v>
      </c>
      <c r="K67" s="23">
        <v>3262</v>
      </c>
      <c r="L67" s="23">
        <v>911771</v>
      </c>
      <c r="M67" s="23">
        <v>-188994</v>
      </c>
      <c r="N67" s="23">
        <v>53618</v>
      </c>
      <c r="O67" s="23">
        <v>112385</v>
      </c>
      <c r="P67" s="23">
        <v>186893</v>
      </c>
      <c r="Q67" s="23">
        <v>494018</v>
      </c>
      <c r="R67" s="23">
        <v>56142</v>
      </c>
      <c r="S67" s="23">
        <v>567606</v>
      </c>
      <c r="T67" s="23">
        <v>344165</v>
      </c>
      <c r="U67" s="18">
        <f t="shared" si="1"/>
        <v>0</v>
      </c>
    </row>
    <row r="68" spans="1:21" ht="15" customHeight="1" x14ac:dyDescent="0.3">
      <c r="A68" s="19" t="s">
        <v>40</v>
      </c>
      <c r="B68" s="19" t="s">
        <v>41</v>
      </c>
      <c r="C68" s="20">
        <v>2021</v>
      </c>
      <c r="D68" s="21" t="str">
        <f t="shared" si="2"/>
        <v>TOTAL-2021</v>
      </c>
      <c r="E68" s="22" t="s">
        <v>274</v>
      </c>
      <c r="F68" s="23">
        <v>3226984</v>
      </c>
      <c r="G68" s="23">
        <v>-2901460</v>
      </c>
      <c r="H68" s="23">
        <v>260807</v>
      </c>
      <c r="I68" s="23">
        <v>642020</v>
      </c>
      <c r="J68" s="23">
        <v>382900</v>
      </c>
      <c r="K68" s="23">
        <v>2910</v>
      </c>
      <c r="L68" s="23">
        <v>1134032</v>
      </c>
      <c r="M68" s="23">
        <v>-206978</v>
      </c>
      <c r="N68" s="23">
        <v>55110</v>
      </c>
      <c r="O68" s="23">
        <v>104343</v>
      </c>
      <c r="P68" s="23">
        <v>163195</v>
      </c>
      <c r="Q68" s="23">
        <v>619902</v>
      </c>
      <c r="R68" s="23">
        <v>62664</v>
      </c>
      <c r="S68" s="23">
        <v>715471</v>
      </c>
      <c r="T68" s="23">
        <v>418561</v>
      </c>
      <c r="U68" s="18">
        <f t="shared" si="1"/>
        <v>0</v>
      </c>
    </row>
    <row r="69" spans="1:21" ht="15" customHeight="1" x14ac:dyDescent="0.3">
      <c r="A69" s="19" t="s">
        <v>40</v>
      </c>
      <c r="B69" s="19" t="s">
        <v>41</v>
      </c>
      <c r="C69" s="20">
        <v>2022</v>
      </c>
      <c r="D69" s="21" t="str">
        <f t="shared" ref="D69:D100" si="3">A69&amp;"-"&amp;C69</f>
        <v>TOTAL-2022</v>
      </c>
      <c r="E69" s="22" t="s">
        <v>274</v>
      </c>
      <c r="F69" s="23">
        <v>5686058</v>
      </c>
      <c r="G69" s="23">
        <v>-5194657</v>
      </c>
      <c r="H69" s="23">
        <v>433868</v>
      </c>
      <c r="I69" s="23">
        <v>1169321</v>
      </c>
      <c r="J69" s="23">
        <v>485882</v>
      </c>
      <c r="K69" s="23">
        <v>2764</v>
      </c>
      <c r="L69" s="23">
        <v>1780306</v>
      </c>
      <c r="M69" s="23">
        <v>-280689</v>
      </c>
      <c r="N69" s="23">
        <v>67256</v>
      </c>
      <c r="O69" s="23">
        <v>158394</v>
      </c>
      <c r="P69" s="23">
        <v>173558</v>
      </c>
      <c r="Q69" s="23">
        <v>145025</v>
      </c>
      <c r="R69" s="23">
        <v>104223</v>
      </c>
      <c r="S69" s="23">
        <v>1338033</v>
      </c>
      <c r="T69" s="23">
        <v>442273</v>
      </c>
      <c r="U69" s="18">
        <f t="shared" ref="U69:U119" si="4">IF(OR(L69="",S69="",T69=""),"",L69-S69-T69)</f>
        <v>0</v>
      </c>
    </row>
    <row r="70" spans="1:21" ht="15" customHeight="1" thickBot="1" x14ac:dyDescent="0.35">
      <c r="A70" s="46" t="s">
        <v>40</v>
      </c>
      <c r="B70" s="46" t="s">
        <v>41</v>
      </c>
      <c r="C70" s="47">
        <v>2023</v>
      </c>
      <c r="D70" s="48" t="str">
        <f t="shared" si="3"/>
        <v>TOTAL-2023</v>
      </c>
      <c r="E70" s="54" t="s">
        <v>274</v>
      </c>
      <c r="F70" s="50">
        <v>6058689</v>
      </c>
      <c r="G70" s="50">
        <v>-5436745</v>
      </c>
      <c r="H70" s="50">
        <v>487969</v>
      </c>
      <c r="I70" s="50">
        <v>1297996</v>
      </c>
      <c r="J70" s="50">
        <v>528776</v>
      </c>
      <c r="K70" s="50">
        <v>2691</v>
      </c>
      <c r="L70" s="50">
        <v>1960104</v>
      </c>
      <c r="M70" s="50">
        <v>-346621</v>
      </c>
      <c r="N70" s="50">
        <v>76988</v>
      </c>
      <c r="O70" s="50">
        <v>172271</v>
      </c>
      <c r="P70" s="50">
        <v>224206</v>
      </c>
      <c r="Q70" s="50">
        <v>144870</v>
      </c>
      <c r="R70" s="50">
        <v>103155</v>
      </c>
      <c r="S70" s="50">
        <v>1473385</v>
      </c>
      <c r="T70" s="50">
        <v>486719</v>
      </c>
      <c r="U70" s="65">
        <f t="shared" si="4"/>
        <v>0</v>
      </c>
    </row>
    <row r="71" spans="1:21" ht="15" customHeight="1" x14ac:dyDescent="0.3">
      <c r="A71" s="38" t="s">
        <v>43</v>
      </c>
      <c r="B71" s="38" t="s">
        <v>44</v>
      </c>
      <c r="C71" s="39">
        <v>2018</v>
      </c>
      <c r="D71" s="40" t="str">
        <f t="shared" si="3"/>
        <v>UNIL-2018</v>
      </c>
      <c r="E71" s="44" t="s">
        <v>274</v>
      </c>
      <c r="F71" s="37">
        <v>632152</v>
      </c>
      <c r="G71" s="37">
        <v>-440991</v>
      </c>
      <c r="H71" s="37">
        <v>250266</v>
      </c>
      <c r="I71" s="37">
        <v>582286</v>
      </c>
      <c r="J71" s="37">
        <v>144194</v>
      </c>
      <c r="K71" s="37">
        <v>10</v>
      </c>
      <c r="L71" s="37">
        <v>726490</v>
      </c>
      <c r="M71" s="37">
        <v>-67867</v>
      </c>
      <c r="N71" s="37">
        <v>9533</v>
      </c>
      <c r="O71" s="37">
        <v>190825</v>
      </c>
      <c r="P71" s="37">
        <v>-155199</v>
      </c>
      <c r="Q71" s="37">
        <v>418394</v>
      </c>
      <c r="R71" s="37">
        <v>0</v>
      </c>
      <c r="S71" s="37">
        <v>431349</v>
      </c>
      <c r="T71" s="37">
        <v>295141</v>
      </c>
      <c r="U71" s="62">
        <f t="shared" si="4"/>
        <v>0</v>
      </c>
    </row>
    <row r="72" spans="1:21" ht="15" customHeight="1" x14ac:dyDescent="0.3">
      <c r="A72" s="19" t="s">
        <v>43</v>
      </c>
      <c r="B72" s="19" t="s">
        <v>44</v>
      </c>
      <c r="C72" s="20">
        <v>2019</v>
      </c>
      <c r="D72" s="21" t="str">
        <f t="shared" si="3"/>
        <v>UNIL-2019</v>
      </c>
      <c r="E72" s="22" t="s">
        <v>274</v>
      </c>
      <c r="F72" s="23">
        <v>333290</v>
      </c>
      <c r="G72" s="23">
        <v>-348684</v>
      </c>
      <c r="H72" s="23">
        <v>112312</v>
      </c>
      <c r="I72" s="23">
        <v>289317</v>
      </c>
      <c r="J72" s="23">
        <v>138983</v>
      </c>
      <c r="K72" s="23">
        <v>10</v>
      </c>
      <c r="L72" s="23">
        <v>489179</v>
      </c>
      <c r="M72" s="23">
        <v>-91051</v>
      </c>
      <c r="N72" s="23">
        <v>8574</v>
      </c>
      <c r="O72" s="23">
        <v>-160316</v>
      </c>
      <c r="P72" s="23">
        <v>56256</v>
      </c>
      <c r="Q72" s="23">
        <v>399375</v>
      </c>
      <c r="R72" s="23">
        <v>0</v>
      </c>
      <c r="S72" s="23">
        <v>404227</v>
      </c>
      <c r="T72" s="23">
        <v>84952</v>
      </c>
      <c r="U72" s="18">
        <f t="shared" si="4"/>
        <v>0</v>
      </c>
    </row>
    <row r="73" spans="1:21" ht="15" customHeight="1" x14ac:dyDescent="0.3">
      <c r="A73" s="19" t="s">
        <v>43</v>
      </c>
      <c r="B73" s="19" t="s">
        <v>44</v>
      </c>
      <c r="C73" s="20">
        <v>2020</v>
      </c>
      <c r="D73" s="21" t="str">
        <f t="shared" si="3"/>
        <v>UNIL-2020</v>
      </c>
      <c r="E73" s="22" t="s">
        <v>274</v>
      </c>
      <c r="F73" s="23">
        <v>424006</v>
      </c>
      <c r="G73" s="23">
        <v>-355462</v>
      </c>
      <c r="H73" s="23">
        <v>51691</v>
      </c>
      <c r="I73" s="23">
        <v>165947</v>
      </c>
      <c r="J73" s="23">
        <v>135551</v>
      </c>
      <c r="K73" s="23">
        <v>11</v>
      </c>
      <c r="L73" s="23">
        <v>337516</v>
      </c>
      <c r="M73" s="23">
        <v>-67671</v>
      </c>
      <c r="N73" s="23">
        <v>11425</v>
      </c>
      <c r="O73" s="23">
        <v>-50240</v>
      </c>
      <c r="P73" s="23">
        <v>63275</v>
      </c>
      <c r="Q73" s="23">
        <v>297679</v>
      </c>
      <c r="R73" s="23">
        <v>0</v>
      </c>
      <c r="S73" s="23">
        <v>301267</v>
      </c>
      <c r="T73" s="23">
        <v>36249</v>
      </c>
      <c r="U73" s="18">
        <f t="shared" si="4"/>
        <v>0</v>
      </c>
    </row>
    <row r="74" spans="1:21" ht="15" customHeight="1" x14ac:dyDescent="0.3">
      <c r="A74" s="19" t="s">
        <v>43</v>
      </c>
      <c r="B74" s="19" t="s">
        <v>44</v>
      </c>
      <c r="C74" s="20">
        <v>2021</v>
      </c>
      <c r="D74" s="21" t="str">
        <f t="shared" si="3"/>
        <v>UNIL-2021</v>
      </c>
      <c r="E74" s="22" t="s">
        <v>274</v>
      </c>
      <c r="F74" s="23">
        <v>526912</v>
      </c>
      <c r="G74" s="23">
        <v>-429866</v>
      </c>
      <c r="H74" s="23">
        <v>47209</v>
      </c>
      <c r="I74" s="23">
        <v>216628</v>
      </c>
      <c r="J74" s="23">
        <v>131166</v>
      </c>
      <c r="K74" s="23">
        <v>11</v>
      </c>
      <c r="L74" s="23">
        <v>382541</v>
      </c>
      <c r="M74" s="23">
        <v>-79564</v>
      </c>
      <c r="N74" s="23">
        <v>12119</v>
      </c>
      <c r="O74" s="23">
        <v>350</v>
      </c>
      <c r="P74" s="23">
        <v>3031</v>
      </c>
      <c r="Q74" s="23">
        <v>341531</v>
      </c>
      <c r="R74" s="23">
        <v>0</v>
      </c>
      <c r="S74" s="23">
        <v>345767</v>
      </c>
      <c r="T74" s="23">
        <v>36774</v>
      </c>
      <c r="U74" s="18">
        <f t="shared" si="4"/>
        <v>0</v>
      </c>
    </row>
    <row r="75" spans="1:21" ht="15" customHeight="1" x14ac:dyDescent="0.3">
      <c r="A75" s="19" t="s">
        <v>43</v>
      </c>
      <c r="B75" s="19" t="s">
        <v>44</v>
      </c>
      <c r="C75" s="20">
        <v>2022</v>
      </c>
      <c r="D75" s="21" t="str">
        <f t="shared" si="3"/>
        <v>UNIL-2022</v>
      </c>
      <c r="E75" s="22" t="s">
        <v>274</v>
      </c>
      <c r="F75" s="23">
        <v>631477</v>
      </c>
      <c r="G75" s="23">
        <v>-475876</v>
      </c>
      <c r="H75" s="23">
        <v>20943</v>
      </c>
      <c r="I75" s="23">
        <v>231073</v>
      </c>
      <c r="J75" s="23">
        <v>133750</v>
      </c>
      <c r="K75" s="23">
        <v>11</v>
      </c>
      <c r="L75" s="23">
        <v>411754</v>
      </c>
      <c r="M75" s="23">
        <v>-70752</v>
      </c>
      <c r="N75" s="23">
        <v>12854</v>
      </c>
      <c r="O75" s="23">
        <v>15080</v>
      </c>
      <c r="P75" s="23">
        <v>61954</v>
      </c>
      <c r="Q75" s="23">
        <v>345765</v>
      </c>
      <c r="R75" s="23">
        <v>0</v>
      </c>
      <c r="S75" s="23">
        <v>358936</v>
      </c>
      <c r="T75" s="23">
        <v>52818</v>
      </c>
      <c r="U75" s="18">
        <f t="shared" si="4"/>
        <v>0</v>
      </c>
    </row>
    <row r="76" spans="1:21" ht="15" customHeight="1" thickBot="1" x14ac:dyDescent="0.35">
      <c r="A76" s="51" t="s">
        <v>43</v>
      </c>
      <c r="B76" s="51" t="s">
        <v>44</v>
      </c>
      <c r="C76" s="52">
        <v>2023</v>
      </c>
      <c r="D76" s="53" t="str">
        <f t="shared" si="3"/>
        <v>UNIL-2023</v>
      </c>
      <c r="E76" s="54" t="s">
        <v>274</v>
      </c>
      <c r="F76" s="55">
        <v>908647</v>
      </c>
      <c r="G76" s="55">
        <v>-569972</v>
      </c>
      <c r="H76" s="55">
        <v>31902</v>
      </c>
      <c r="I76" s="55">
        <v>262721</v>
      </c>
      <c r="J76" s="55">
        <v>122103</v>
      </c>
      <c r="K76" s="55">
        <v>11</v>
      </c>
      <c r="L76" s="55">
        <v>412527</v>
      </c>
      <c r="M76" s="55">
        <v>-25290</v>
      </c>
      <c r="N76" s="55">
        <v>14012</v>
      </c>
      <c r="O76" s="55">
        <v>141443</v>
      </c>
      <c r="P76" s="55">
        <v>202182</v>
      </c>
      <c r="Q76" s="55">
        <v>199146</v>
      </c>
      <c r="R76" s="55">
        <v>0</v>
      </c>
      <c r="S76" s="55">
        <v>218720</v>
      </c>
      <c r="T76" s="55">
        <v>193807</v>
      </c>
      <c r="U76" s="63">
        <f t="shared" si="4"/>
        <v>0</v>
      </c>
    </row>
    <row r="77" spans="1:21" ht="15" customHeight="1" x14ac:dyDescent="0.3">
      <c r="A77" s="56" t="s">
        <v>45</v>
      </c>
      <c r="B77" s="56" t="s">
        <v>46</v>
      </c>
      <c r="C77" s="57">
        <v>2018</v>
      </c>
      <c r="D77" s="58" t="str">
        <f t="shared" si="3"/>
        <v>DIGICUT-2018</v>
      </c>
      <c r="E77" s="59" t="s">
        <v>275</v>
      </c>
      <c r="F77" s="60">
        <v>2204680</v>
      </c>
      <c r="G77" s="60">
        <v>-700248</v>
      </c>
      <c r="H77" s="60">
        <v>0</v>
      </c>
      <c r="I77" s="60">
        <v>5373957</v>
      </c>
      <c r="J77" s="60">
        <v>861804</v>
      </c>
      <c r="K77" s="60">
        <v>0</v>
      </c>
      <c r="L77" s="60">
        <v>6761053</v>
      </c>
      <c r="M77" s="60">
        <v>-2387463</v>
      </c>
      <c r="N77" s="60">
        <v>463826</v>
      </c>
      <c r="O77" s="60">
        <v>-908580</v>
      </c>
      <c r="P77" s="60">
        <v>-536710</v>
      </c>
      <c r="Q77" s="60">
        <v>1083519</v>
      </c>
      <c r="R77" s="60">
        <v>1005625</v>
      </c>
      <c r="S77" s="60">
        <v>2089144</v>
      </c>
      <c r="T77" s="60">
        <v>4671909</v>
      </c>
      <c r="U77" s="64">
        <f t="shared" si="4"/>
        <v>0</v>
      </c>
    </row>
    <row r="78" spans="1:21" ht="15" customHeight="1" x14ac:dyDescent="0.3">
      <c r="A78" s="19" t="s">
        <v>45</v>
      </c>
      <c r="B78" s="19" t="s">
        <v>46</v>
      </c>
      <c r="C78" s="20">
        <v>2019</v>
      </c>
      <c r="D78" s="21" t="str">
        <f t="shared" si="3"/>
        <v>DIGICUT-2019</v>
      </c>
      <c r="E78" s="22" t="s">
        <v>275</v>
      </c>
      <c r="F78" s="23">
        <v>410457</v>
      </c>
      <c r="G78" s="23">
        <v>-474937</v>
      </c>
      <c r="H78" s="23">
        <v>22952</v>
      </c>
      <c r="I78" s="23">
        <v>4898578</v>
      </c>
      <c r="J78" s="23">
        <v>408223</v>
      </c>
      <c r="K78" s="23">
        <v>0</v>
      </c>
      <c r="L78" s="23">
        <v>5832093</v>
      </c>
      <c r="M78" s="23">
        <v>-4455346</v>
      </c>
      <c r="N78" s="23">
        <v>47981</v>
      </c>
      <c r="O78" s="23">
        <v>-1096164</v>
      </c>
      <c r="P78" s="23">
        <v>-1622810</v>
      </c>
      <c r="Q78" s="23">
        <v>1244723</v>
      </c>
      <c r="R78" s="23">
        <v>1011625</v>
      </c>
      <c r="S78" s="23">
        <v>2256348</v>
      </c>
      <c r="T78" s="23">
        <v>3575745</v>
      </c>
      <c r="U78" s="18">
        <f t="shared" si="4"/>
        <v>0</v>
      </c>
    </row>
    <row r="79" spans="1:21" ht="15" customHeight="1" x14ac:dyDescent="0.3">
      <c r="A79" s="19" t="s">
        <v>45</v>
      </c>
      <c r="B79" s="19" t="s">
        <v>46</v>
      </c>
      <c r="C79" s="20">
        <v>2020</v>
      </c>
      <c r="D79" s="21" t="str">
        <f t="shared" si="3"/>
        <v>DIGICUT-2020</v>
      </c>
      <c r="E79" s="22" t="s">
        <v>275</v>
      </c>
      <c r="F79" s="23">
        <v>60714</v>
      </c>
      <c r="G79" s="23">
        <v>-49932</v>
      </c>
      <c r="H79" s="23">
        <v>19584</v>
      </c>
      <c r="I79" s="23">
        <v>4887522</v>
      </c>
      <c r="J79" s="23">
        <v>107377</v>
      </c>
      <c r="K79" s="23">
        <v>0</v>
      </c>
      <c r="L79" s="23">
        <v>5520191</v>
      </c>
      <c r="M79" s="23">
        <v>-680971</v>
      </c>
      <c r="N79" s="23">
        <v>300846</v>
      </c>
      <c r="O79" s="23">
        <v>-670189</v>
      </c>
      <c r="P79" s="23">
        <v>-22855</v>
      </c>
      <c r="Q79" s="23">
        <v>1595202</v>
      </c>
      <c r="R79" s="23">
        <v>1019433</v>
      </c>
      <c r="S79" s="23">
        <v>2614635</v>
      </c>
      <c r="T79" s="23">
        <v>2905556</v>
      </c>
      <c r="U79" s="18">
        <f t="shared" si="4"/>
        <v>0</v>
      </c>
    </row>
    <row r="80" spans="1:21" ht="15" customHeight="1" x14ac:dyDescent="0.3">
      <c r="A80" s="19" t="s">
        <v>45</v>
      </c>
      <c r="B80" s="19" t="s">
        <v>46</v>
      </c>
      <c r="C80" s="20">
        <v>2021</v>
      </c>
      <c r="D80" s="21" t="str">
        <f t="shared" si="3"/>
        <v>DIGICUT-2021</v>
      </c>
      <c r="E80" s="22" t="s">
        <v>275</v>
      </c>
      <c r="F80" s="23">
        <v>183701</v>
      </c>
      <c r="G80" s="23">
        <v>-75195</v>
      </c>
      <c r="H80" s="23">
        <v>20452</v>
      </c>
      <c r="I80" s="23">
        <v>4798692</v>
      </c>
      <c r="J80" s="23">
        <v>18742</v>
      </c>
      <c r="K80" s="23">
        <v>0</v>
      </c>
      <c r="L80" s="23">
        <v>5342727</v>
      </c>
      <c r="M80" s="23">
        <v>-279013</v>
      </c>
      <c r="N80" s="23">
        <v>88635</v>
      </c>
      <c r="O80" s="23">
        <v>-170507</v>
      </c>
      <c r="P80" s="23">
        <v>54202</v>
      </c>
      <c r="Q80" s="23">
        <v>1588245</v>
      </c>
      <c r="R80" s="23">
        <v>1019433</v>
      </c>
      <c r="S80" s="23">
        <v>2607678</v>
      </c>
      <c r="T80" s="23">
        <v>2735049</v>
      </c>
      <c r="U80" s="18">
        <f t="shared" si="4"/>
        <v>0</v>
      </c>
    </row>
    <row r="81" spans="1:21" ht="15" customHeight="1" x14ac:dyDescent="0.3">
      <c r="A81" s="19" t="s">
        <v>45</v>
      </c>
      <c r="B81" s="19" t="s">
        <v>46</v>
      </c>
      <c r="C81" s="20">
        <v>2022</v>
      </c>
      <c r="D81" s="21" t="str">
        <f t="shared" si="3"/>
        <v>DIGICUT-2022</v>
      </c>
      <c r="E81" s="22" t="s">
        <v>275</v>
      </c>
      <c r="F81" s="23">
        <v>254160</v>
      </c>
      <c r="G81" s="23">
        <v>-141135</v>
      </c>
      <c r="H81" s="23">
        <v>28146</v>
      </c>
      <c r="I81" s="23">
        <v>4788161</v>
      </c>
      <c r="J81" s="23">
        <v>12375</v>
      </c>
      <c r="K81" s="23">
        <v>0</v>
      </c>
      <c r="L81" s="23">
        <v>5325828</v>
      </c>
      <c r="M81" s="23">
        <v>-235701</v>
      </c>
      <c r="N81" s="23">
        <v>6368</v>
      </c>
      <c r="O81" s="23">
        <v>-100672</v>
      </c>
      <c r="P81" s="23">
        <v>-48403</v>
      </c>
      <c r="Q81" s="23">
        <v>1672017</v>
      </c>
      <c r="R81" s="23">
        <v>1019433</v>
      </c>
      <c r="S81" s="23">
        <v>2691450</v>
      </c>
      <c r="T81" s="23">
        <v>2634378</v>
      </c>
      <c r="U81" s="18">
        <f t="shared" si="4"/>
        <v>0</v>
      </c>
    </row>
    <row r="82" spans="1:21" ht="15" customHeight="1" thickBot="1" x14ac:dyDescent="0.35">
      <c r="A82" s="46" t="s">
        <v>45</v>
      </c>
      <c r="B82" s="46" t="s">
        <v>46</v>
      </c>
      <c r="C82" s="47">
        <v>2023</v>
      </c>
      <c r="D82" s="48" t="str">
        <f t="shared" si="3"/>
        <v>DIGICUT-2023</v>
      </c>
      <c r="E82" s="49" t="s">
        <v>275</v>
      </c>
      <c r="F82" s="50">
        <v>433042</v>
      </c>
      <c r="G82" s="50">
        <v>-203546</v>
      </c>
      <c r="H82" s="50">
        <v>0</v>
      </c>
      <c r="I82" s="50">
        <v>4780919</v>
      </c>
      <c r="J82" s="50">
        <v>532941</v>
      </c>
      <c r="K82" s="50">
        <v>0</v>
      </c>
      <c r="L82" s="50">
        <v>5313860</v>
      </c>
      <c r="M82" s="50">
        <v>-321182</v>
      </c>
      <c r="N82" s="50">
        <v>4726</v>
      </c>
      <c r="O82" s="50">
        <v>-78170</v>
      </c>
      <c r="P82" s="50">
        <v>22575</v>
      </c>
      <c r="Q82" s="50">
        <v>1738218</v>
      </c>
      <c r="R82" s="50">
        <v>0</v>
      </c>
      <c r="S82" s="50">
        <v>2757651</v>
      </c>
      <c r="T82" s="50">
        <v>2556208</v>
      </c>
      <c r="U82" s="65">
        <f t="shared" si="4"/>
        <v>1</v>
      </c>
    </row>
    <row r="83" spans="1:21" ht="15" customHeight="1" x14ac:dyDescent="0.3">
      <c r="A83" s="41" t="s">
        <v>49</v>
      </c>
      <c r="B83" s="41" t="s">
        <v>50</v>
      </c>
      <c r="C83" s="42">
        <v>2018</v>
      </c>
      <c r="D83" s="43" t="str">
        <f t="shared" si="3"/>
        <v>HORDS-2018</v>
      </c>
      <c r="E83" s="59" t="s">
        <v>275</v>
      </c>
      <c r="F83" s="45">
        <v>3427267</v>
      </c>
      <c r="G83" s="45">
        <v>-2467859</v>
      </c>
      <c r="H83" s="45">
        <v>544645</v>
      </c>
      <c r="I83" s="45">
        <v>3480101</v>
      </c>
      <c r="J83" s="45">
        <v>1211838</v>
      </c>
      <c r="K83" s="45">
        <v>0</v>
      </c>
      <c r="L83" s="45">
        <v>5032050</v>
      </c>
      <c r="M83" s="45">
        <v>-824902</v>
      </c>
      <c r="N83" s="45">
        <v>149839</v>
      </c>
      <c r="O83" s="45">
        <v>281954</v>
      </c>
      <c r="P83" s="45">
        <v>-162374</v>
      </c>
      <c r="Q83" s="45">
        <v>843987</v>
      </c>
      <c r="R83" s="45">
        <v>34305</v>
      </c>
      <c r="S83" s="45">
        <v>878292</v>
      </c>
      <c r="T83" s="45">
        <v>4153758</v>
      </c>
      <c r="U83" s="74">
        <f t="shared" si="4"/>
        <v>0</v>
      </c>
    </row>
    <row r="84" spans="1:21" ht="15" customHeight="1" x14ac:dyDescent="0.3">
      <c r="A84" s="19" t="s">
        <v>49</v>
      </c>
      <c r="B84" s="19" t="s">
        <v>50</v>
      </c>
      <c r="C84" s="20">
        <v>2019</v>
      </c>
      <c r="D84" s="21" t="str">
        <f t="shared" si="3"/>
        <v>HORDS-2019</v>
      </c>
      <c r="E84" s="22" t="s">
        <v>275</v>
      </c>
      <c r="F84" s="23">
        <v>3124425</v>
      </c>
      <c r="G84" s="23">
        <v>-2041136</v>
      </c>
      <c r="H84" s="23">
        <v>332922</v>
      </c>
      <c r="I84" s="23">
        <v>3517580</v>
      </c>
      <c r="J84" s="23">
        <v>1130047</v>
      </c>
      <c r="K84" s="23">
        <v>0</v>
      </c>
      <c r="L84" s="23">
        <v>4945692</v>
      </c>
      <c r="M84" s="23">
        <v>-762949</v>
      </c>
      <c r="N84" s="23">
        <v>141037</v>
      </c>
      <c r="O84" s="23">
        <v>345904</v>
      </c>
      <c r="P84" s="23">
        <v>86439</v>
      </c>
      <c r="Q84" s="23">
        <v>413675</v>
      </c>
      <c r="R84" s="23">
        <v>32355</v>
      </c>
      <c r="S84" s="23">
        <v>446030</v>
      </c>
      <c r="T84" s="23">
        <v>4499662</v>
      </c>
      <c r="U84" s="18">
        <f t="shared" si="4"/>
        <v>0</v>
      </c>
    </row>
    <row r="85" spans="1:21" ht="15" customHeight="1" x14ac:dyDescent="0.3">
      <c r="A85" s="19" t="s">
        <v>49</v>
      </c>
      <c r="B85" s="19" t="s">
        <v>50</v>
      </c>
      <c r="C85" s="20">
        <v>2020</v>
      </c>
      <c r="D85" s="21" t="str">
        <f t="shared" si="3"/>
        <v>HORDS-2020</v>
      </c>
      <c r="E85" s="22" t="s">
        <v>275</v>
      </c>
      <c r="F85" s="23">
        <v>2917302</v>
      </c>
      <c r="G85" s="23">
        <v>-1930204</v>
      </c>
      <c r="H85" s="23">
        <v>193336</v>
      </c>
      <c r="I85" s="23">
        <v>3487233</v>
      </c>
      <c r="J85" s="23">
        <v>1108521</v>
      </c>
      <c r="K85" s="23">
        <v>0</v>
      </c>
      <c r="L85" s="23">
        <v>4831967</v>
      </c>
      <c r="M85" s="23">
        <v>-786760</v>
      </c>
      <c r="N85" s="23">
        <v>133153</v>
      </c>
      <c r="O85" s="23">
        <v>169297</v>
      </c>
      <c r="P85" s="23">
        <v>-6200</v>
      </c>
      <c r="Q85" s="23">
        <v>130653</v>
      </c>
      <c r="R85" s="23">
        <v>32355</v>
      </c>
      <c r="S85" s="23">
        <v>163008</v>
      </c>
      <c r="T85" s="23">
        <v>4668959</v>
      </c>
      <c r="U85" s="18">
        <f t="shared" si="4"/>
        <v>0</v>
      </c>
    </row>
    <row r="86" spans="1:21" ht="15" customHeight="1" x14ac:dyDescent="0.3">
      <c r="A86" s="19" t="s">
        <v>49</v>
      </c>
      <c r="B86" s="19" t="s">
        <v>50</v>
      </c>
      <c r="C86" s="20">
        <v>2021</v>
      </c>
      <c r="D86" s="21" t="str">
        <f t="shared" si="3"/>
        <v>HORDS-2021</v>
      </c>
      <c r="E86" s="22" t="s">
        <v>275</v>
      </c>
      <c r="F86" s="23">
        <v>5505389</v>
      </c>
      <c r="G86" s="23">
        <v>-4461286</v>
      </c>
      <c r="H86" s="23">
        <v>168505</v>
      </c>
      <c r="I86" s="23">
        <v>2069390</v>
      </c>
      <c r="J86" s="23">
        <v>1083012</v>
      </c>
      <c r="K86" s="23">
        <v>0</v>
      </c>
      <c r="L86" s="23">
        <v>3485640</v>
      </c>
      <c r="M86" s="23">
        <v>-971857</v>
      </c>
      <c r="N86" s="23">
        <v>87360</v>
      </c>
      <c r="O86" s="23">
        <v>-1466688</v>
      </c>
      <c r="P86" s="23">
        <v>241784</v>
      </c>
      <c r="Q86" s="23">
        <v>435484</v>
      </c>
      <c r="R86" s="23">
        <v>32355</v>
      </c>
      <c r="S86" s="23">
        <v>467839</v>
      </c>
      <c r="T86" s="23">
        <v>3017801</v>
      </c>
      <c r="U86" s="18">
        <f t="shared" si="4"/>
        <v>0</v>
      </c>
    </row>
    <row r="87" spans="1:21" ht="15" customHeight="1" x14ac:dyDescent="0.3">
      <c r="A87" s="19" t="s">
        <v>49</v>
      </c>
      <c r="B87" s="19" t="s">
        <v>50</v>
      </c>
      <c r="C87" s="20">
        <v>2022</v>
      </c>
      <c r="D87" s="21" t="str">
        <f t="shared" si="3"/>
        <v>HORDS-2022</v>
      </c>
      <c r="E87" s="22" t="s">
        <v>275</v>
      </c>
      <c r="F87" s="23">
        <v>5412722</v>
      </c>
      <c r="G87" s="23">
        <v>-4666982</v>
      </c>
      <c r="H87" s="23">
        <v>115932</v>
      </c>
      <c r="I87" s="23">
        <v>1719675</v>
      </c>
      <c r="J87" s="23">
        <v>1057373</v>
      </c>
      <c r="K87" s="23">
        <v>0</v>
      </c>
      <c r="L87" s="23">
        <v>3181400</v>
      </c>
      <c r="M87" s="23">
        <v>-1022688</v>
      </c>
      <c r="N87" s="23">
        <v>86498</v>
      </c>
      <c r="O87" s="23">
        <v>-120874</v>
      </c>
      <c r="P87" s="23">
        <v>269348</v>
      </c>
      <c r="Q87" s="23">
        <v>267660</v>
      </c>
      <c r="R87" s="23">
        <v>32355</v>
      </c>
      <c r="S87" s="23">
        <v>300015</v>
      </c>
      <c r="T87" s="23">
        <v>2881385</v>
      </c>
      <c r="U87" s="18">
        <f t="shared" si="4"/>
        <v>0</v>
      </c>
    </row>
    <row r="88" spans="1:21" ht="15" customHeight="1" thickBot="1" x14ac:dyDescent="0.35">
      <c r="A88" s="51" t="s">
        <v>49</v>
      </c>
      <c r="B88" s="51" t="s">
        <v>50</v>
      </c>
      <c r="C88" s="52">
        <v>2023</v>
      </c>
      <c r="D88" s="53" t="str">
        <f t="shared" si="3"/>
        <v>HORDS-2023</v>
      </c>
      <c r="E88" s="49" t="s">
        <v>275</v>
      </c>
      <c r="F88" s="55">
        <v>265348</v>
      </c>
      <c r="G88" s="55">
        <v>-148538</v>
      </c>
      <c r="H88" s="55">
        <v>0</v>
      </c>
      <c r="I88" s="55">
        <v>1476502</v>
      </c>
      <c r="J88" s="55">
        <v>1031734</v>
      </c>
      <c r="K88" s="55">
        <v>0</v>
      </c>
      <c r="L88" s="55">
        <v>2885105</v>
      </c>
      <c r="M88" s="55">
        <v>-260497</v>
      </c>
      <c r="N88" s="55">
        <v>86628</v>
      </c>
      <c r="O88" s="55">
        <v>-46920</v>
      </c>
      <c r="P88" s="55">
        <v>-27388</v>
      </c>
      <c r="Q88" s="55">
        <v>18285</v>
      </c>
      <c r="R88" s="55">
        <v>32355</v>
      </c>
      <c r="S88" s="55">
        <v>50640</v>
      </c>
      <c r="T88" s="55">
        <v>2834465</v>
      </c>
      <c r="U88" s="63">
        <f t="shared" si="4"/>
        <v>0</v>
      </c>
    </row>
    <row r="89" spans="1:21" ht="15" customHeight="1" x14ac:dyDescent="0.3">
      <c r="A89" s="38" t="s">
        <v>51</v>
      </c>
      <c r="B89" s="38" t="s">
        <v>52</v>
      </c>
      <c r="C89" s="39">
        <v>2018</v>
      </c>
      <c r="D89" s="40" t="str">
        <f t="shared" si="3"/>
        <v>IIL-2018</v>
      </c>
      <c r="E89" s="59" t="s">
        <v>275</v>
      </c>
      <c r="F89" s="37">
        <v>20206689</v>
      </c>
      <c r="G89" s="37">
        <v>-8299773</v>
      </c>
      <c r="H89" s="37">
        <v>11724014</v>
      </c>
      <c r="I89" s="37">
        <v>18738450</v>
      </c>
      <c r="J89" s="37">
        <v>7812086</v>
      </c>
      <c r="K89" s="37">
        <v>0</v>
      </c>
      <c r="L89" s="37">
        <v>26550536</v>
      </c>
      <c r="M89" s="37">
        <v>-7324349</v>
      </c>
      <c r="N89" s="37">
        <v>-574359</v>
      </c>
      <c r="O89" s="37">
        <v>2842612</v>
      </c>
      <c r="P89" s="37">
        <v>1389672</v>
      </c>
      <c r="Q89" s="37">
        <v>11320063</v>
      </c>
      <c r="R89" s="37">
        <v>0</v>
      </c>
      <c r="S89" s="37">
        <v>12077488</v>
      </c>
      <c r="T89" s="37">
        <v>14473048</v>
      </c>
      <c r="U89" s="62">
        <f t="shared" si="4"/>
        <v>0</v>
      </c>
    </row>
    <row r="90" spans="1:21" ht="15" customHeight="1" x14ac:dyDescent="0.3">
      <c r="A90" s="19" t="s">
        <v>51</v>
      </c>
      <c r="B90" s="19" t="s">
        <v>52</v>
      </c>
      <c r="C90" s="20">
        <v>2019</v>
      </c>
      <c r="D90" s="21" t="str">
        <f t="shared" si="3"/>
        <v>IIL-2019</v>
      </c>
      <c r="E90" s="22" t="s">
        <v>275</v>
      </c>
      <c r="F90" s="23">
        <v>23085380</v>
      </c>
      <c r="G90" s="23">
        <v>-11399528</v>
      </c>
      <c r="H90" s="23">
        <v>13754222</v>
      </c>
      <c r="I90" s="23">
        <v>19827573</v>
      </c>
      <c r="J90" s="23">
        <v>10571949</v>
      </c>
      <c r="K90" s="23">
        <v>0</v>
      </c>
      <c r="L90" s="23">
        <v>30470198</v>
      </c>
      <c r="M90" s="23">
        <v>-8652016</v>
      </c>
      <c r="N90" s="23">
        <v>-494990</v>
      </c>
      <c r="O90" s="23">
        <v>1870608</v>
      </c>
      <c r="P90" s="23">
        <v>499269</v>
      </c>
      <c r="Q90" s="23">
        <v>7857292</v>
      </c>
      <c r="R90" s="23">
        <v>4068435</v>
      </c>
      <c r="S90" s="23">
        <v>12773629</v>
      </c>
      <c r="T90" s="23">
        <v>17696569</v>
      </c>
      <c r="U90" s="18">
        <f t="shared" si="4"/>
        <v>0</v>
      </c>
    </row>
    <row r="91" spans="1:21" ht="15" customHeight="1" x14ac:dyDescent="0.3">
      <c r="A91" s="19" t="s">
        <v>51</v>
      </c>
      <c r="B91" s="19" t="s">
        <v>52</v>
      </c>
      <c r="C91" s="20">
        <v>2020</v>
      </c>
      <c r="D91" s="21" t="str">
        <f t="shared" si="3"/>
        <v>IIL-2020</v>
      </c>
      <c r="E91" s="22" t="s">
        <v>275</v>
      </c>
      <c r="F91" s="23">
        <v>20668656</v>
      </c>
      <c r="G91" s="23">
        <v>-10485928</v>
      </c>
      <c r="H91" s="23">
        <v>14307758</v>
      </c>
      <c r="I91" s="23">
        <v>23477737</v>
      </c>
      <c r="J91" s="23">
        <v>13789909</v>
      </c>
      <c r="K91" s="23">
        <v>0</v>
      </c>
      <c r="L91" s="23">
        <v>37331452</v>
      </c>
      <c r="M91" s="23">
        <v>-7810452</v>
      </c>
      <c r="N91" s="23">
        <v>-712211</v>
      </c>
      <c r="O91" s="23">
        <v>1450855</v>
      </c>
      <c r="P91" s="23">
        <v>-75304</v>
      </c>
      <c r="Q91" s="23">
        <v>10872478</v>
      </c>
      <c r="R91" s="23">
        <v>8060067</v>
      </c>
      <c r="S91" s="23">
        <v>19391395</v>
      </c>
      <c r="T91" s="23">
        <v>17940057</v>
      </c>
      <c r="U91" s="18">
        <f t="shared" si="4"/>
        <v>0</v>
      </c>
    </row>
    <row r="92" spans="1:21" ht="15" customHeight="1" x14ac:dyDescent="0.3">
      <c r="A92" s="19" t="s">
        <v>51</v>
      </c>
      <c r="B92" s="19" t="s">
        <v>52</v>
      </c>
      <c r="C92" s="20">
        <v>2021</v>
      </c>
      <c r="D92" s="21" t="str">
        <f t="shared" si="3"/>
        <v>IIL-2021</v>
      </c>
      <c r="E92" s="22" t="s">
        <v>275</v>
      </c>
      <c r="F92" s="23">
        <v>22670720</v>
      </c>
      <c r="G92" s="23">
        <v>-12037018</v>
      </c>
      <c r="H92" s="23">
        <v>15961964</v>
      </c>
      <c r="I92" s="23">
        <v>26079591</v>
      </c>
      <c r="J92" s="23">
        <v>20411214</v>
      </c>
      <c r="K92" s="23">
        <v>0</v>
      </c>
      <c r="L92" s="23">
        <v>46546307</v>
      </c>
      <c r="M92" s="23">
        <v>-8860506</v>
      </c>
      <c r="N92" s="23">
        <v>-544942</v>
      </c>
      <c r="O92" s="23">
        <v>1146349</v>
      </c>
      <c r="P92" s="23">
        <v>3755042</v>
      </c>
      <c r="Q92" s="23">
        <v>14002252</v>
      </c>
      <c r="R92" s="23">
        <v>13807378</v>
      </c>
      <c r="S92" s="23">
        <v>28258429</v>
      </c>
      <c r="T92" s="23">
        <v>18287878</v>
      </c>
      <c r="U92" s="18">
        <f t="shared" si="4"/>
        <v>0</v>
      </c>
    </row>
    <row r="93" spans="1:21" ht="15" customHeight="1" x14ac:dyDescent="0.3">
      <c r="A93" s="19" t="s">
        <v>51</v>
      </c>
      <c r="B93" s="19" t="s">
        <v>52</v>
      </c>
      <c r="C93" s="20">
        <v>2022</v>
      </c>
      <c r="D93" s="21" t="str">
        <f t="shared" si="3"/>
        <v>IIL-2022</v>
      </c>
      <c r="E93" s="22" t="s">
        <v>275</v>
      </c>
      <c r="F93" s="23">
        <v>20355205</v>
      </c>
      <c r="G93" s="23">
        <v>-11599227</v>
      </c>
      <c r="H93" s="23">
        <v>15466780</v>
      </c>
      <c r="I93" s="23">
        <v>24551875</v>
      </c>
      <c r="J93" s="23">
        <v>22211072</v>
      </c>
      <c r="K93" s="23">
        <v>0</v>
      </c>
      <c r="L93" s="23">
        <v>46819104</v>
      </c>
      <c r="M93" s="23">
        <v>-11393478</v>
      </c>
      <c r="N93" s="23">
        <v>-569822</v>
      </c>
      <c r="O93" s="23">
        <v>-3509155</v>
      </c>
      <c r="P93" s="23">
        <v>2783558</v>
      </c>
      <c r="Q93" s="23">
        <v>21398245</v>
      </c>
      <c r="R93" s="23">
        <v>10355534</v>
      </c>
      <c r="S93" s="23">
        <v>32040378</v>
      </c>
      <c r="T93" s="23">
        <v>14778726</v>
      </c>
      <c r="U93" s="18">
        <f t="shared" si="4"/>
        <v>0</v>
      </c>
    </row>
    <row r="94" spans="1:21" ht="15" customHeight="1" thickBot="1" x14ac:dyDescent="0.35">
      <c r="A94" s="46" t="s">
        <v>51</v>
      </c>
      <c r="B94" s="46" t="s">
        <v>52</v>
      </c>
      <c r="C94" s="47">
        <v>2023</v>
      </c>
      <c r="D94" s="48" t="str">
        <f t="shared" si="3"/>
        <v>IIL-2023</v>
      </c>
      <c r="E94" s="49" t="s">
        <v>275</v>
      </c>
      <c r="F94" s="50">
        <v>31416619</v>
      </c>
      <c r="G94" s="50">
        <v>-14135876</v>
      </c>
      <c r="H94" s="50">
        <v>15556773</v>
      </c>
      <c r="I94" s="50">
        <v>23153939</v>
      </c>
      <c r="J94" s="50">
        <v>23259657</v>
      </c>
      <c r="K94" s="50">
        <v>9720</v>
      </c>
      <c r="L94" s="50">
        <v>46493237</v>
      </c>
      <c r="M94" s="50">
        <v>-12390660</v>
      </c>
      <c r="N94" s="50">
        <v>-799941</v>
      </c>
      <c r="O94" s="50">
        <v>2543387</v>
      </c>
      <c r="P94" s="50">
        <v>4228416</v>
      </c>
      <c r="Q94" s="50">
        <v>20859229</v>
      </c>
      <c r="R94" s="50">
        <v>7883943</v>
      </c>
      <c r="S94" s="50">
        <v>29171124</v>
      </c>
      <c r="T94" s="50">
        <v>17322113</v>
      </c>
      <c r="U94" s="65">
        <f t="shared" si="4"/>
        <v>0</v>
      </c>
    </row>
    <row r="95" spans="1:21" ht="15" customHeight="1" x14ac:dyDescent="0.3">
      <c r="A95" s="38" t="s">
        <v>54</v>
      </c>
      <c r="B95" s="38" t="s">
        <v>55</v>
      </c>
      <c r="C95" s="39">
        <v>2018</v>
      </c>
      <c r="D95" s="40" t="str">
        <f t="shared" si="3"/>
        <v>MMH-2018</v>
      </c>
      <c r="E95" s="59" t="s">
        <v>275</v>
      </c>
      <c r="F95" s="37">
        <v>1699629</v>
      </c>
      <c r="G95" s="37">
        <v>-820428</v>
      </c>
      <c r="H95" s="37">
        <v>1089681</v>
      </c>
      <c r="I95" s="37">
        <v>1263674</v>
      </c>
      <c r="J95" s="37">
        <v>7251363</v>
      </c>
      <c r="K95" s="37">
        <v>0</v>
      </c>
      <c r="L95" s="37">
        <v>8518193</v>
      </c>
      <c r="M95" s="37">
        <v>-1377815</v>
      </c>
      <c r="N95" s="37">
        <v>134091</v>
      </c>
      <c r="O95" s="37">
        <v>-522859</v>
      </c>
      <c r="P95" s="37">
        <v>587216</v>
      </c>
      <c r="Q95" s="37">
        <v>4639481</v>
      </c>
      <c r="R95" s="37">
        <v>398950</v>
      </c>
      <c r="S95" s="37">
        <v>5038431</v>
      </c>
      <c r="T95" s="37">
        <v>3479762</v>
      </c>
      <c r="U95" s="62">
        <f t="shared" si="4"/>
        <v>0</v>
      </c>
    </row>
    <row r="96" spans="1:21" ht="15" customHeight="1" x14ac:dyDescent="0.3">
      <c r="A96" s="19" t="s">
        <v>54</v>
      </c>
      <c r="B96" s="19" t="s">
        <v>55</v>
      </c>
      <c r="C96" s="20">
        <v>2019</v>
      </c>
      <c r="D96" s="21" t="str">
        <f t="shared" si="3"/>
        <v>MMH-2019</v>
      </c>
      <c r="E96" s="22" t="s">
        <v>275</v>
      </c>
      <c r="F96" s="23">
        <v>1325330</v>
      </c>
      <c r="G96" s="23">
        <v>-1045687</v>
      </c>
      <c r="H96" s="23">
        <v>1043105</v>
      </c>
      <c r="I96" s="23">
        <v>1396982</v>
      </c>
      <c r="J96" s="23">
        <v>7152823</v>
      </c>
      <c r="K96" s="23">
        <v>0</v>
      </c>
      <c r="L96" s="23">
        <v>8549805</v>
      </c>
      <c r="M96" s="23">
        <v>-1285795</v>
      </c>
      <c r="N96" s="23">
        <v>130446</v>
      </c>
      <c r="O96" s="23">
        <v>-784042</v>
      </c>
      <c r="P96" s="23">
        <v>695308</v>
      </c>
      <c r="Q96" s="23">
        <v>5455135</v>
      </c>
      <c r="R96" s="23">
        <v>398950</v>
      </c>
      <c r="S96" s="23">
        <v>5854085</v>
      </c>
      <c r="T96" s="23">
        <v>2695720</v>
      </c>
      <c r="U96" s="18">
        <f t="shared" si="4"/>
        <v>0</v>
      </c>
    </row>
    <row r="97" spans="1:21" ht="15" customHeight="1" x14ac:dyDescent="0.3">
      <c r="A97" s="19" t="s">
        <v>54</v>
      </c>
      <c r="B97" s="19" t="s">
        <v>55</v>
      </c>
      <c r="C97" s="20">
        <v>2020</v>
      </c>
      <c r="D97" s="21" t="str">
        <f t="shared" si="3"/>
        <v>MMH-2020</v>
      </c>
      <c r="E97" s="22" t="s">
        <v>275</v>
      </c>
      <c r="F97" s="23">
        <v>0</v>
      </c>
      <c r="G97" s="23">
        <v>0</v>
      </c>
      <c r="H97" s="23">
        <v>0</v>
      </c>
      <c r="I97" s="23">
        <v>1341382</v>
      </c>
      <c r="J97" s="23">
        <v>0</v>
      </c>
      <c r="K97" s="23">
        <v>0</v>
      </c>
      <c r="L97" s="23">
        <v>1342382</v>
      </c>
      <c r="M97" s="23">
        <v>-10891</v>
      </c>
      <c r="N97" s="23">
        <v>0</v>
      </c>
      <c r="O97" s="23">
        <v>-10891</v>
      </c>
      <c r="P97" s="23">
        <v>0</v>
      </c>
      <c r="Q97" s="23">
        <v>42040</v>
      </c>
      <c r="R97" s="23">
        <v>1000</v>
      </c>
      <c r="S97" s="23">
        <v>42040</v>
      </c>
      <c r="T97" s="23">
        <v>1300342</v>
      </c>
      <c r="U97" s="18">
        <f t="shared" si="4"/>
        <v>0</v>
      </c>
    </row>
    <row r="98" spans="1:21" ht="15" customHeight="1" x14ac:dyDescent="0.3">
      <c r="A98" s="19" t="s">
        <v>54</v>
      </c>
      <c r="B98" s="19" t="s">
        <v>55</v>
      </c>
      <c r="C98" s="20">
        <v>2021</v>
      </c>
      <c r="D98" s="21" t="str">
        <f t="shared" si="3"/>
        <v>MMH-2021</v>
      </c>
      <c r="E98" s="22" t="s">
        <v>275</v>
      </c>
      <c r="F98" s="23">
        <v>0</v>
      </c>
      <c r="G98" s="23">
        <v>0</v>
      </c>
      <c r="H98" s="23">
        <v>0</v>
      </c>
      <c r="I98" s="23">
        <v>1333382</v>
      </c>
      <c r="J98" s="23">
        <v>0</v>
      </c>
      <c r="K98" s="23">
        <v>0</v>
      </c>
      <c r="L98" s="23">
        <v>1334382</v>
      </c>
      <c r="M98" s="23">
        <v>-11385</v>
      </c>
      <c r="N98" s="23">
        <v>0</v>
      </c>
      <c r="O98" s="23">
        <v>-11385</v>
      </c>
      <c r="P98" s="23">
        <v>0</v>
      </c>
      <c r="Q98" s="23">
        <v>45425</v>
      </c>
      <c r="R98" s="23">
        <v>1000</v>
      </c>
      <c r="S98" s="23">
        <v>45425</v>
      </c>
      <c r="T98" s="23">
        <v>1288957</v>
      </c>
      <c r="U98" s="18">
        <f t="shared" si="4"/>
        <v>0</v>
      </c>
    </row>
    <row r="99" spans="1:21" ht="15" customHeight="1" x14ac:dyDescent="0.3">
      <c r="A99" s="19" t="s">
        <v>54</v>
      </c>
      <c r="B99" s="19" t="s">
        <v>55</v>
      </c>
      <c r="C99" s="20">
        <v>2022</v>
      </c>
      <c r="D99" s="21" t="str">
        <f t="shared" si="3"/>
        <v>MMH-2022</v>
      </c>
      <c r="E99" s="22" t="s">
        <v>275</v>
      </c>
      <c r="F99" s="23">
        <v>1025995</v>
      </c>
      <c r="G99" s="23">
        <v>-416486</v>
      </c>
      <c r="H99" s="23">
        <v>1330746</v>
      </c>
      <c r="I99" s="23">
        <v>1636796</v>
      </c>
      <c r="J99" s="23">
        <v>6871567</v>
      </c>
      <c r="K99" s="23">
        <v>0</v>
      </c>
      <c r="L99" s="23">
        <v>8508363</v>
      </c>
      <c r="M99" s="23">
        <v>-743774</v>
      </c>
      <c r="N99" s="23">
        <v>95189</v>
      </c>
      <c r="O99" s="23">
        <v>-191082</v>
      </c>
      <c r="P99" s="23">
        <v>7557</v>
      </c>
      <c r="Q99" s="23">
        <v>6583093</v>
      </c>
      <c r="R99" s="23">
        <v>398950</v>
      </c>
      <c r="S99" s="23">
        <v>6982043</v>
      </c>
      <c r="T99" s="23">
        <v>1526320</v>
      </c>
      <c r="U99" s="18">
        <f t="shared" si="4"/>
        <v>0</v>
      </c>
    </row>
    <row r="100" spans="1:21" ht="15" customHeight="1" thickBot="1" x14ac:dyDescent="0.35">
      <c r="A100" s="51" t="s">
        <v>54</v>
      </c>
      <c r="B100" s="51" t="s">
        <v>55</v>
      </c>
      <c r="C100" s="52">
        <v>2023</v>
      </c>
      <c r="D100" s="53" t="str">
        <f t="shared" si="3"/>
        <v>MMH-2023</v>
      </c>
      <c r="E100" s="54" t="s">
        <v>275</v>
      </c>
      <c r="F100" s="55">
        <v>1026908</v>
      </c>
      <c r="G100" s="55">
        <v>-638491</v>
      </c>
      <c r="H100" s="55">
        <v>1408418</v>
      </c>
      <c r="I100" s="55">
        <v>1692518</v>
      </c>
      <c r="J100" s="55">
        <v>6834941</v>
      </c>
      <c r="K100" s="55">
        <v>0</v>
      </c>
      <c r="L100" s="55">
        <v>8527459</v>
      </c>
      <c r="M100" s="55">
        <v>-725637</v>
      </c>
      <c r="N100" s="55">
        <v>93125</v>
      </c>
      <c r="O100" s="55">
        <v>-300212</v>
      </c>
      <c r="P100" s="55">
        <v>49783</v>
      </c>
      <c r="Q100" s="55">
        <v>6902401</v>
      </c>
      <c r="R100" s="55">
        <v>398950</v>
      </c>
      <c r="S100" s="55">
        <v>7301351</v>
      </c>
      <c r="T100" s="55">
        <v>1226108</v>
      </c>
      <c r="U100" s="63">
        <f t="shared" si="4"/>
        <v>0</v>
      </c>
    </row>
    <row r="101" spans="1:21" ht="15" customHeight="1" x14ac:dyDescent="0.3">
      <c r="A101" s="56" t="s">
        <v>56</v>
      </c>
      <c r="B101" s="56" t="s">
        <v>57</v>
      </c>
      <c r="C101" s="57">
        <v>2018</v>
      </c>
      <c r="D101" s="58" t="str">
        <f t="shared" ref="D101:D119" si="5">A101&amp;"-"&amp;C101</f>
        <v>SAMBA-2018</v>
      </c>
      <c r="E101" s="59" t="s">
        <v>275</v>
      </c>
      <c r="F101" s="60">
        <v>342020</v>
      </c>
      <c r="G101" s="60">
        <v>-239804</v>
      </c>
      <c r="H101" s="60">
        <v>97425</v>
      </c>
      <c r="I101" s="60">
        <v>445874</v>
      </c>
      <c r="J101" s="60">
        <v>3621845</v>
      </c>
      <c r="K101" s="60">
        <v>0</v>
      </c>
      <c r="L101" s="60">
        <v>4114464</v>
      </c>
      <c r="M101" s="60">
        <v>-265531</v>
      </c>
      <c r="N101" s="60">
        <v>-171417</v>
      </c>
      <c r="O101" s="60">
        <v>-347641</v>
      </c>
      <c r="P101" s="60">
        <v>290407</v>
      </c>
      <c r="Q101" s="60">
        <v>430417</v>
      </c>
      <c r="R101" s="60">
        <v>151753</v>
      </c>
      <c r="S101" s="60">
        <v>1285035</v>
      </c>
      <c r="T101" s="60">
        <v>2829429</v>
      </c>
      <c r="U101" s="64">
        <f t="shared" si="4"/>
        <v>0</v>
      </c>
    </row>
    <row r="102" spans="1:21" ht="15" customHeight="1" x14ac:dyDescent="0.3">
      <c r="A102" s="19" t="s">
        <v>56</v>
      </c>
      <c r="B102" s="19" t="s">
        <v>57</v>
      </c>
      <c r="C102" s="20">
        <v>2019</v>
      </c>
      <c r="D102" s="21" t="str">
        <f t="shared" si="5"/>
        <v>SAMBA-2019</v>
      </c>
      <c r="E102" s="22" t="s">
        <v>275</v>
      </c>
      <c r="F102" s="23">
        <v>557965</v>
      </c>
      <c r="G102" s="23">
        <v>-376156</v>
      </c>
      <c r="H102" s="23">
        <v>95720</v>
      </c>
      <c r="I102" s="23">
        <v>554236</v>
      </c>
      <c r="J102" s="23">
        <v>3473801</v>
      </c>
      <c r="K102" s="23">
        <v>0</v>
      </c>
      <c r="L102" s="23">
        <v>4051409</v>
      </c>
      <c r="M102" s="23">
        <v>-184881</v>
      </c>
      <c r="N102" s="23">
        <v>-194790</v>
      </c>
      <c r="O102" s="23">
        <v>-200300</v>
      </c>
      <c r="P102" s="23">
        <v>-4909</v>
      </c>
      <c r="Q102" s="23">
        <v>566769</v>
      </c>
      <c r="R102" s="23">
        <v>151753</v>
      </c>
      <c r="S102" s="23">
        <v>1422280</v>
      </c>
      <c r="T102" s="23">
        <v>2629129</v>
      </c>
      <c r="U102" s="18">
        <f t="shared" si="4"/>
        <v>0</v>
      </c>
    </row>
    <row r="103" spans="1:21" ht="15" customHeight="1" x14ac:dyDescent="0.3">
      <c r="A103" s="19" t="s">
        <v>56</v>
      </c>
      <c r="B103" s="19" t="s">
        <v>57</v>
      </c>
      <c r="C103" s="20">
        <v>2020</v>
      </c>
      <c r="D103" s="21" t="str">
        <f t="shared" si="5"/>
        <v>SAMBA-2020</v>
      </c>
      <c r="E103" s="22" t="s">
        <v>275</v>
      </c>
      <c r="F103" s="23">
        <v>672907</v>
      </c>
      <c r="G103" s="23">
        <v>-446098</v>
      </c>
      <c r="H103" s="23">
        <v>119004</v>
      </c>
      <c r="I103" s="23">
        <v>574623</v>
      </c>
      <c r="J103" s="23">
        <v>3350637</v>
      </c>
      <c r="K103" s="23">
        <v>0</v>
      </c>
      <c r="L103" s="23">
        <v>3996290</v>
      </c>
      <c r="M103" s="23">
        <v>-162836</v>
      </c>
      <c r="N103" s="23">
        <v>-146536</v>
      </c>
      <c r="O103" s="23">
        <v>-83532</v>
      </c>
      <c r="P103" s="23">
        <v>-24494</v>
      </c>
      <c r="Q103" s="23">
        <v>429338</v>
      </c>
      <c r="R103" s="23">
        <v>301753</v>
      </c>
      <c r="S103" s="23">
        <v>1450693</v>
      </c>
      <c r="T103" s="23">
        <v>2545597</v>
      </c>
      <c r="U103" s="18">
        <f t="shared" si="4"/>
        <v>0</v>
      </c>
    </row>
    <row r="104" spans="1:21" ht="15" customHeight="1" x14ac:dyDescent="0.3">
      <c r="A104" s="19" t="s">
        <v>56</v>
      </c>
      <c r="B104" s="19" t="s">
        <v>57</v>
      </c>
      <c r="C104" s="20">
        <v>2021</v>
      </c>
      <c r="D104" s="21" t="str">
        <f t="shared" si="5"/>
        <v>SAMBA-2021</v>
      </c>
      <c r="E104" s="22" t="s">
        <v>275</v>
      </c>
      <c r="F104" s="23">
        <v>1059735</v>
      </c>
      <c r="G104" s="23">
        <v>-628638</v>
      </c>
      <c r="H104" s="23">
        <v>100910</v>
      </c>
      <c r="I104" s="23">
        <v>476853</v>
      </c>
      <c r="J104" s="23">
        <v>3269176</v>
      </c>
      <c r="K104" s="23">
        <v>0</v>
      </c>
      <c r="L104" s="23">
        <v>3793688</v>
      </c>
      <c r="M104" s="23">
        <v>-203098</v>
      </c>
      <c r="N104" s="23">
        <v>-133536</v>
      </c>
      <c r="O104" s="23">
        <v>94993</v>
      </c>
      <c r="P104" s="23">
        <v>-26808</v>
      </c>
      <c r="Q104" s="23">
        <v>137710</v>
      </c>
      <c r="R104" s="23">
        <v>300148</v>
      </c>
      <c r="S104" s="23">
        <v>1153098</v>
      </c>
      <c r="T104" s="23">
        <v>2640590</v>
      </c>
      <c r="U104" s="18">
        <f t="shared" si="4"/>
        <v>0</v>
      </c>
    </row>
    <row r="105" spans="1:21" ht="15" customHeight="1" x14ac:dyDescent="0.3">
      <c r="A105" s="19" t="s">
        <v>56</v>
      </c>
      <c r="B105" s="19" t="s">
        <v>57</v>
      </c>
      <c r="C105" s="20">
        <v>2022</v>
      </c>
      <c r="D105" s="21" t="str">
        <f t="shared" si="5"/>
        <v>SAMBA-2022</v>
      </c>
      <c r="E105" s="22" t="s">
        <v>275</v>
      </c>
      <c r="F105" s="23">
        <v>760925</v>
      </c>
      <c r="G105" s="23">
        <v>-697909</v>
      </c>
      <c r="H105" s="23">
        <v>129789</v>
      </c>
      <c r="I105" s="23">
        <v>372106</v>
      </c>
      <c r="J105" s="23">
        <v>3195546</v>
      </c>
      <c r="K105" s="23">
        <v>0</v>
      </c>
      <c r="L105" s="23">
        <v>3591939</v>
      </c>
      <c r="M105" s="23">
        <v>-172427</v>
      </c>
      <c r="N105" s="23">
        <v>-123842</v>
      </c>
      <c r="O105" s="23">
        <v>-219589</v>
      </c>
      <c r="P105" s="23">
        <v>39510</v>
      </c>
      <c r="Q105" s="23">
        <v>251357</v>
      </c>
      <c r="R105" s="23">
        <v>278942</v>
      </c>
      <c r="S105" s="23">
        <v>1245539</v>
      </c>
      <c r="T105" s="23">
        <v>2346400</v>
      </c>
      <c r="U105" s="18">
        <f t="shared" si="4"/>
        <v>0</v>
      </c>
    </row>
    <row r="106" spans="1:21" ht="15" customHeight="1" thickBot="1" x14ac:dyDescent="0.35">
      <c r="A106" s="46" t="s">
        <v>56</v>
      </c>
      <c r="B106" s="46" t="s">
        <v>57</v>
      </c>
      <c r="C106" s="47">
        <v>2023</v>
      </c>
      <c r="D106" s="48" t="str">
        <f t="shared" si="5"/>
        <v>SAMBA-2023</v>
      </c>
      <c r="E106" s="49" t="s">
        <v>275</v>
      </c>
      <c r="F106" s="50">
        <v>386583</v>
      </c>
      <c r="G106" s="50">
        <v>-404505</v>
      </c>
      <c r="H106" s="50">
        <v>47398</v>
      </c>
      <c r="I106" s="50">
        <v>243901</v>
      </c>
      <c r="J106" s="50">
        <v>2861256</v>
      </c>
      <c r="K106" s="50">
        <v>0</v>
      </c>
      <c r="L106" s="50">
        <v>3105157</v>
      </c>
      <c r="M106" s="50">
        <v>-187490</v>
      </c>
      <c r="N106" s="50">
        <v>-359378</v>
      </c>
      <c r="O106" s="50">
        <v>-540141</v>
      </c>
      <c r="P106" s="50">
        <v>24761</v>
      </c>
      <c r="Q106" s="50">
        <v>324415</v>
      </c>
      <c r="R106" s="50">
        <v>259244</v>
      </c>
      <c r="S106" s="50">
        <v>1298899</v>
      </c>
      <c r="T106" s="50">
        <v>1806259</v>
      </c>
      <c r="U106" s="65">
        <f t="shared" si="4"/>
        <v>-1</v>
      </c>
    </row>
    <row r="107" spans="1:21" ht="15" customHeight="1" x14ac:dyDescent="0.3">
      <c r="A107" s="41" t="s">
        <v>58</v>
      </c>
      <c r="B107" s="41" t="s">
        <v>59</v>
      </c>
      <c r="C107" s="42">
        <v>2018</v>
      </c>
      <c r="D107" s="43" t="str">
        <f t="shared" si="5"/>
        <v>MLC-2018</v>
      </c>
      <c r="E107" s="76" t="s">
        <v>275</v>
      </c>
      <c r="F107" s="45">
        <v>39817850</v>
      </c>
      <c r="G107" s="45">
        <v>-31082166</v>
      </c>
      <c r="H107" s="45">
        <v>10481692</v>
      </c>
      <c r="I107" s="45">
        <v>38909305</v>
      </c>
      <c r="J107" s="45">
        <v>33173729</v>
      </c>
      <c r="K107" s="45">
        <v>0</v>
      </c>
      <c r="L107" s="45">
        <v>74507509</v>
      </c>
      <c r="M107" s="45">
        <v>-10195868</v>
      </c>
      <c r="N107" s="45">
        <v>0</v>
      </c>
      <c r="O107" s="45">
        <v>-443531</v>
      </c>
      <c r="P107" s="45">
        <v>-4052131</v>
      </c>
      <c r="Q107" s="45">
        <v>38003136</v>
      </c>
      <c r="R107" s="45">
        <v>0</v>
      </c>
      <c r="S107" s="45">
        <v>41626413</v>
      </c>
      <c r="T107" s="45">
        <v>32881096</v>
      </c>
      <c r="U107" s="74">
        <f t="shared" si="4"/>
        <v>0</v>
      </c>
    </row>
    <row r="108" spans="1:21" ht="15" customHeight="1" x14ac:dyDescent="0.3">
      <c r="A108" s="19" t="s">
        <v>58</v>
      </c>
      <c r="B108" s="19" t="s">
        <v>59</v>
      </c>
      <c r="C108" s="20">
        <v>2019</v>
      </c>
      <c r="D108" s="21" t="str">
        <f t="shared" si="5"/>
        <v>MLC-2019</v>
      </c>
      <c r="E108" s="22" t="s">
        <v>275</v>
      </c>
      <c r="F108" s="23">
        <v>21918273</v>
      </c>
      <c r="G108" s="23">
        <v>-16180849</v>
      </c>
      <c r="H108" s="23">
        <v>6017753</v>
      </c>
      <c r="I108" s="23">
        <v>22485264</v>
      </c>
      <c r="J108" s="23">
        <v>33572917</v>
      </c>
      <c r="K108" s="23">
        <v>0</v>
      </c>
      <c r="L108" s="23">
        <v>58470276</v>
      </c>
      <c r="M108" s="23">
        <v>-7665070</v>
      </c>
      <c r="N108" s="23">
        <v>0</v>
      </c>
      <c r="O108" s="23">
        <v>-2688819</v>
      </c>
      <c r="P108" s="23">
        <v>-310003</v>
      </c>
      <c r="Q108" s="23">
        <v>27896776</v>
      </c>
      <c r="R108" s="23">
        <v>0</v>
      </c>
      <c r="S108" s="23">
        <v>30756716</v>
      </c>
      <c r="T108" s="23">
        <v>27713561</v>
      </c>
      <c r="U108" s="18">
        <f t="shared" si="4"/>
        <v>-1</v>
      </c>
    </row>
    <row r="109" spans="1:21" ht="15" customHeight="1" thickBot="1" x14ac:dyDescent="0.35">
      <c r="A109" s="51" t="s">
        <v>58</v>
      </c>
      <c r="B109" s="51" t="s">
        <v>59</v>
      </c>
      <c r="C109" s="52">
        <v>2020</v>
      </c>
      <c r="D109" s="53" t="str">
        <f t="shared" si="5"/>
        <v>MLC-2020</v>
      </c>
      <c r="E109" s="54" t="s">
        <v>275</v>
      </c>
      <c r="F109" s="55">
        <v>9970882</v>
      </c>
      <c r="G109" s="55">
        <v>-8250141</v>
      </c>
      <c r="H109" s="55">
        <v>14933576</v>
      </c>
      <c r="I109" s="55">
        <v>24966906</v>
      </c>
      <c r="J109" s="55">
        <v>97764847</v>
      </c>
      <c r="K109" s="55"/>
      <c r="L109" s="55">
        <v>131100529</v>
      </c>
      <c r="M109" s="55">
        <v>-4542329</v>
      </c>
      <c r="N109" s="55">
        <v>0</v>
      </c>
      <c r="O109" s="55">
        <v>-3959508</v>
      </c>
      <c r="P109" s="55">
        <v>1150112</v>
      </c>
      <c r="Q109" s="55">
        <v>34028342</v>
      </c>
      <c r="R109" s="55">
        <v>0</v>
      </c>
      <c r="S109" s="55">
        <v>55476483</v>
      </c>
      <c r="T109" s="55">
        <v>75624046</v>
      </c>
      <c r="U109" s="63">
        <f t="shared" si="4"/>
        <v>0</v>
      </c>
    </row>
    <row r="110" spans="1:21" ht="15" customHeight="1" x14ac:dyDescent="0.3">
      <c r="A110" s="38" t="s">
        <v>62</v>
      </c>
      <c r="B110" s="38" t="s">
        <v>63</v>
      </c>
      <c r="C110" s="39">
        <v>2018</v>
      </c>
      <c r="D110" s="40" t="str">
        <f t="shared" si="5"/>
        <v>PZC-2018</v>
      </c>
      <c r="E110" s="75" t="s">
        <v>275</v>
      </c>
      <c r="F110" s="37">
        <v>111603488</v>
      </c>
      <c r="G110" s="37">
        <v>-83870319</v>
      </c>
      <c r="H110" s="37">
        <v>0</v>
      </c>
      <c r="I110" s="37">
        <v>51984793</v>
      </c>
      <c r="J110" s="37">
        <v>7108672</v>
      </c>
      <c r="K110" s="37">
        <v>1405271</v>
      </c>
      <c r="L110" s="37">
        <v>93844816</v>
      </c>
      <c r="M110" s="37">
        <v>-11242366</v>
      </c>
      <c r="N110" s="37">
        <v>0</v>
      </c>
      <c r="O110" s="37">
        <v>6480638</v>
      </c>
      <c r="P110" s="37">
        <v>-11920953</v>
      </c>
      <c r="Q110" s="37">
        <v>45526907</v>
      </c>
      <c r="R110" s="37">
        <v>24646442</v>
      </c>
      <c r="S110" s="37">
        <v>71952827</v>
      </c>
      <c r="T110" s="37">
        <v>21891989</v>
      </c>
      <c r="U110" s="62">
        <f t="shared" si="4"/>
        <v>0</v>
      </c>
    </row>
    <row r="111" spans="1:21" ht="15" customHeight="1" x14ac:dyDescent="0.3">
      <c r="A111" s="19" t="s">
        <v>62</v>
      </c>
      <c r="B111" s="19" t="s">
        <v>63</v>
      </c>
      <c r="C111" s="20">
        <v>2019</v>
      </c>
      <c r="D111" s="21" t="str">
        <f t="shared" si="5"/>
        <v>PZC-2019</v>
      </c>
      <c r="E111" s="22" t="s">
        <v>275</v>
      </c>
      <c r="F111" s="23">
        <v>106517018</v>
      </c>
      <c r="G111" s="23">
        <v>-81461330</v>
      </c>
      <c r="H111" s="23">
        <v>0</v>
      </c>
      <c r="I111" s="23">
        <v>55540228</v>
      </c>
      <c r="J111" s="23">
        <v>4485770</v>
      </c>
      <c r="K111" s="23">
        <v>0</v>
      </c>
      <c r="L111" s="23">
        <v>133483230</v>
      </c>
      <c r="M111" s="23">
        <v>-9774488</v>
      </c>
      <c r="N111" s="23">
        <v>0</v>
      </c>
      <c r="O111" s="23">
        <v>42495592</v>
      </c>
      <c r="P111" s="23">
        <v>2581812</v>
      </c>
      <c r="Q111" s="23">
        <v>26046393</v>
      </c>
      <c r="R111" s="23">
        <v>27949781</v>
      </c>
      <c r="S111" s="23">
        <v>69095649</v>
      </c>
      <c r="T111" s="23">
        <v>64387581</v>
      </c>
      <c r="U111" s="18">
        <f t="shared" si="4"/>
        <v>0</v>
      </c>
    </row>
    <row r="112" spans="1:21" ht="15" customHeight="1" thickBot="1" x14ac:dyDescent="0.35">
      <c r="A112" s="46" t="s">
        <v>62</v>
      </c>
      <c r="B112" s="46" t="s">
        <v>63</v>
      </c>
      <c r="C112" s="47">
        <v>2020</v>
      </c>
      <c r="D112" s="48" t="str">
        <f t="shared" si="5"/>
        <v>PZC-2020</v>
      </c>
      <c r="E112" s="49" t="s">
        <v>275</v>
      </c>
      <c r="F112" s="50">
        <v>0</v>
      </c>
      <c r="G112" s="50">
        <v>0</v>
      </c>
      <c r="H112" s="50"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65">
        <f t="shared" si="4"/>
        <v>0</v>
      </c>
    </row>
    <row r="113" spans="1:21" ht="15" customHeight="1" x14ac:dyDescent="0.3">
      <c r="A113" s="41" t="s">
        <v>65</v>
      </c>
      <c r="B113" s="41" t="s">
        <v>66</v>
      </c>
      <c r="C113" s="42">
        <v>2020</v>
      </c>
      <c r="D113" s="43" t="str">
        <f t="shared" si="5"/>
        <v>DASPHARMA-2020</v>
      </c>
      <c r="E113" s="22" t="s">
        <v>275</v>
      </c>
      <c r="F113" s="45">
        <v>65918628</v>
      </c>
      <c r="G113" s="45">
        <v>-36631759</v>
      </c>
      <c r="H113" s="45">
        <v>12978051</v>
      </c>
      <c r="I113" s="45">
        <v>28262785</v>
      </c>
      <c r="J113" s="45">
        <v>21211854</v>
      </c>
      <c r="K113" s="45">
        <v>2416650</v>
      </c>
      <c r="L113" s="45">
        <v>54042877</v>
      </c>
      <c r="M113" s="45">
        <v>-31592320</v>
      </c>
      <c r="N113" s="45">
        <v>1924361</v>
      </c>
      <c r="O113" s="45">
        <v>-5158244</v>
      </c>
      <c r="P113" s="45">
        <v>2196318</v>
      </c>
      <c r="Q113" s="45">
        <v>25549507</v>
      </c>
      <c r="R113" s="45">
        <v>14656190</v>
      </c>
      <c r="S113" s="45">
        <v>47257238</v>
      </c>
      <c r="T113" s="45">
        <v>6785639</v>
      </c>
      <c r="U113" s="74">
        <f t="shared" si="4"/>
        <v>0</v>
      </c>
    </row>
    <row r="114" spans="1:21" ht="15" customHeight="1" x14ac:dyDescent="0.3">
      <c r="A114" s="19" t="s">
        <v>65</v>
      </c>
      <c r="B114" s="19" t="s">
        <v>66</v>
      </c>
      <c r="C114" s="20">
        <v>2021</v>
      </c>
      <c r="D114" s="21" t="str">
        <f t="shared" si="5"/>
        <v>DASPHARMA-2021</v>
      </c>
      <c r="E114" s="22" t="s">
        <v>275</v>
      </c>
      <c r="F114" s="23">
        <v>74530831</v>
      </c>
      <c r="G114" s="23">
        <v>-35543875</v>
      </c>
      <c r="H114" s="23">
        <v>14782153</v>
      </c>
      <c r="I114" s="23">
        <v>35861605</v>
      </c>
      <c r="J114" s="23">
        <v>21211034</v>
      </c>
      <c r="K114" s="23">
        <v>2416650</v>
      </c>
      <c r="L114" s="23">
        <v>63567078</v>
      </c>
      <c r="M114" s="23">
        <v>-33197332</v>
      </c>
      <c r="N114" s="23">
        <v>2167643</v>
      </c>
      <c r="O114" s="23">
        <v>4881672</v>
      </c>
      <c r="P114" s="23">
        <v>276489</v>
      </c>
      <c r="Q114" s="23">
        <v>32981425</v>
      </c>
      <c r="R114" s="23">
        <v>13203189</v>
      </c>
      <c r="S114" s="23">
        <v>51899767</v>
      </c>
      <c r="T114" s="23">
        <v>11667311</v>
      </c>
      <c r="U114" s="18">
        <f t="shared" si="4"/>
        <v>0</v>
      </c>
    </row>
    <row r="115" spans="1:21" ht="15" customHeight="1" x14ac:dyDescent="0.3">
      <c r="A115" s="19" t="s">
        <v>65</v>
      </c>
      <c r="B115" s="19" t="s">
        <v>66</v>
      </c>
      <c r="C115" s="20">
        <v>2022</v>
      </c>
      <c r="D115" s="21" t="str">
        <f t="shared" si="5"/>
        <v>DASPHARMA-2022</v>
      </c>
      <c r="E115" s="22" t="s">
        <v>275</v>
      </c>
      <c r="F115" s="23">
        <v>95792613</v>
      </c>
      <c r="G115" s="23">
        <v>-45070953</v>
      </c>
      <c r="H115" s="23">
        <v>14609803</v>
      </c>
      <c r="I115" s="23">
        <v>42084059</v>
      </c>
      <c r="J115" s="23">
        <v>25651135</v>
      </c>
      <c r="K115" s="23">
        <v>2416650</v>
      </c>
      <c r="L115" s="23">
        <v>75150272</v>
      </c>
      <c r="M115" s="23">
        <v>-51166681</v>
      </c>
      <c r="N115" s="23">
        <v>2432827</v>
      </c>
      <c r="O115" s="23">
        <v>-3451029</v>
      </c>
      <c r="P115" s="23">
        <v>7908599</v>
      </c>
      <c r="Q115" s="23">
        <v>42711447</v>
      </c>
      <c r="R115" s="23">
        <v>17176758</v>
      </c>
      <c r="S115" s="23">
        <v>66933990</v>
      </c>
      <c r="T115" s="23">
        <v>8216282</v>
      </c>
      <c r="U115" s="18">
        <f t="shared" si="4"/>
        <v>0</v>
      </c>
    </row>
    <row r="116" spans="1:21" ht="15" customHeight="1" thickBot="1" x14ac:dyDescent="0.35">
      <c r="A116" s="51" t="s">
        <v>65</v>
      </c>
      <c r="B116" s="51" t="s">
        <v>66</v>
      </c>
      <c r="C116" s="52">
        <v>2023</v>
      </c>
      <c r="D116" s="53" t="str">
        <f t="shared" si="5"/>
        <v>DASPHARMA-2023</v>
      </c>
      <c r="E116" s="54" t="s">
        <v>275</v>
      </c>
      <c r="F116" s="55">
        <v>141003384</v>
      </c>
      <c r="G116" s="55">
        <v>-63546084</v>
      </c>
      <c r="H116" s="55">
        <v>14038862</v>
      </c>
      <c r="I116" s="55">
        <v>51187402</v>
      </c>
      <c r="J116" s="55">
        <v>25165512</v>
      </c>
      <c r="K116" s="55">
        <v>0</v>
      </c>
      <c r="L116" s="55">
        <v>78217554</v>
      </c>
      <c r="M116" s="55">
        <v>-61111160</v>
      </c>
      <c r="N116" s="55">
        <v>2613655</v>
      </c>
      <c r="O116" s="55">
        <v>7553731</v>
      </c>
      <c r="P116" s="55">
        <v>14092506</v>
      </c>
      <c r="Q116" s="55">
        <v>42431143</v>
      </c>
      <c r="R116" s="55">
        <v>10544326</v>
      </c>
      <c r="S116" s="55">
        <v>61867528</v>
      </c>
      <c r="T116" s="55">
        <v>16350026</v>
      </c>
      <c r="U116" s="63">
        <f t="shared" si="4"/>
        <v>0</v>
      </c>
    </row>
    <row r="117" spans="1:21" ht="15" customHeight="1" x14ac:dyDescent="0.3">
      <c r="A117" s="38" t="s">
        <v>70</v>
      </c>
      <c r="B117" s="38" t="s">
        <v>71</v>
      </c>
      <c r="C117" s="39">
        <v>2018</v>
      </c>
      <c r="D117" s="40" t="str">
        <f t="shared" si="5"/>
        <v>SWL-2018</v>
      </c>
      <c r="E117" s="22" t="s">
        <v>275</v>
      </c>
      <c r="F117" s="37">
        <v>1052688</v>
      </c>
      <c r="G117" s="37">
        <v>-593129</v>
      </c>
      <c r="H117" s="37">
        <v>5286</v>
      </c>
      <c r="I117" s="37">
        <v>600588</v>
      </c>
      <c r="J117" s="37">
        <v>3290274</v>
      </c>
      <c r="K117" s="37">
        <v>0</v>
      </c>
      <c r="L117" s="37">
        <v>4263538</v>
      </c>
      <c r="M117" s="37">
        <v>-1286415</v>
      </c>
      <c r="N117" s="37">
        <v>467428</v>
      </c>
      <c r="O117" s="37">
        <v>-1471127</v>
      </c>
      <c r="P117" s="37">
        <v>-786252</v>
      </c>
      <c r="Q117" s="37">
        <v>3718636</v>
      </c>
      <c r="R117" s="37">
        <v>0</v>
      </c>
      <c r="S117" s="37">
        <v>3906745</v>
      </c>
      <c r="T117" s="37">
        <v>356793</v>
      </c>
      <c r="U117" s="62">
        <f t="shared" si="4"/>
        <v>0</v>
      </c>
    </row>
    <row r="118" spans="1:21" ht="15" customHeight="1" x14ac:dyDescent="0.3">
      <c r="A118" s="19" t="s">
        <v>70</v>
      </c>
      <c r="B118" s="19" t="s">
        <v>71</v>
      </c>
      <c r="C118" s="20">
        <v>2019</v>
      </c>
      <c r="D118" s="21" t="str">
        <f t="shared" si="5"/>
        <v>SWL-2019</v>
      </c>
      <c r="E118" s="22" t="s">
        <v>275</v>
      </c>
      <c r="F118" s="23">
        <v>454180</v>
      </c>
      <c r="G118" s="23">
        <v>-424377</v>
      </c>
      <c r="H118" s="23">
        <v>4124</v>
      </c>
      <c r="I118" s="23">
        <v>545971</v>
      </c>
      <c r="J118" s="23">
        <v>3025809</v>
      </c>
      <c r="K118" s="23">
        <v>0</v>
      </c>
      <c r="L118" s="23">
        <v>3914988</v>
      </c>
      <c r="M118" s="23">
        <v>-813627</v>
      </c>
      <c r="N118" s="23">
        <v>378867</v>
      </c>
      <c r="O118" s="23">
        <v>-1265083</v>
      </c>
      <c r="P118" s="23">
        <v>-478025</v>
      </c>
      <c r="Q118" s="23">
        <v>4635169</v>
      </c>
      <c r="R118" s="23">
        <v>0</v>
      </c>
      <c r="S118" s="23">
        <v>4823278</v>
      </c>
      <c r="T118" s="23">
        <v>-908290</v>
      </c>
      <c r="U118" s="18">
        <f t="shared" si="4"/>
        <v>0</v>
      </c>
    </row>
    <row r="119" spans="1:21" ht="15" customHeight="1" x14ac:dyDescent="0.3">
      <c r="A119" s="19" t="s">
        <v>70</v>
      </c>
      <c r="B119" s="19" t="s">
        <v>71</v>
      </c>
      <c r="C119" s="20">
        <v>2020</v>
      </c>
      <c r="D119" s="21" t="str">
        <f t="shared" si="5"/>
        <v>SWL-2020</v>
      </c>
      <c r="E119" s="22" t="s">
        <v>275</v>
      </c>
      <c r="F119" s="23">
        <v>0</v>
      </c>
      <c r="G119" s="23">
        <v>-506148</v>
      </c>
      <c r="H119" s="23">
        <v>4124</v>
      </c>
      <c r="I119" s="23">
        <v>397150</v>
      </c>
      <c r="J119" s="23">
        <v>2758815</v>
      </c>
      <c r="K119" s="23">
        <v>0</v>
      </c>
      <c r="L119" s="23">
        <v>3396210</v>
      </c>
      <c r="M119" s="23">
        <v>-27516</v>
      </c>
      <c r="N119" s="23">
        <v>369956</v>
      </c>
      <c r="O119" s="23">
        <v>-533664</v>
      </c>
      <c r="P119" s="23">
        <v>-592</v>
      </c>
      <c r="Q119" s="23">
        <v>4650055</v>
      </c>
      <c r="R119" s="23">
        <v>0</v>
      </c>
      <c r="S119" s="23">
        <v>4838164</v>
      </c>
      <c r="T119" s="23">
        <v>-1441954</v>
      </c>
      <c r="U119" s="18">
        <f t="shared" si="4"/>
        <v>0</v>
      </c>
    </row>
    <row r="121" spans="1:21" ht="15" customHeight="1" x14ac:dyDescent="0.3">
      <c r="A121" s="9" t="s">
        <v>100</v>
      </c>
    </row>
    <row r="122" spans="1:21" ht="15" customHeight="1" x14ac:dyDescent="0.3">
      <c r="A122" s="24" t="s">
        <v>124</v>
      </c>
    </row>
    <row r="123" spans="1:21" ht="15" customHeight="1" x14ac:dyDescent="0.3">
      <c r="A123" s="10" t="s">
        <v>125</v>
      </c>
    </row>
    <row r="124" spans="1:21" ht="15" customHeight="1" x14ac:dyDescent="0.3">
      <c r="A124" s="25" t="s">
        <v>126</v>
      </c>
    </row>
    <row r="138" spans="2:2" x14ac:dyDescent="0.3">
      <c r="B138" s="25"/>
    </row>
  </sheetData>
  <autoFilter ref="A4:U4"/>
  <mergeCells count="2">
    <mergeCell ref="A1:U1"/>
    <mergeCell ref="A2:U2"/>
  </mergeCells>
  <conditionalFormatting sqref="U5:U119">
    <cfRule type="expression" dxfId="2" priority="2">
      <formula>AND($U5&lt;&gt;"",ABS($U5)&gt;1)</formula>
    </cfRule>
  </conditionalFormatting>
  <dataValidations count="1">
    <dataValidation type="list" allowBlank="1" sqref="E5:E119">
      <formula1>"GHS '000,GHS millions,GHS (units)"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8"/>
  <sheetViews>
    <sheetView showGridLines="0"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I105" sqref="I105"/>
    </sheetView>
  </sheetViews>
  <sheetFormatPr defaultColWidth="8.6640625" defaultRowHeight="14.4" x14ac:dyDescent="0.3"/>
  <cols>
    <col min="1" max="1" width="10" style="1" customWidth="1"/>
    <col min="2" max="2" width="26" style="1" customWidth="1"/>
    <col min="3" max="3" width="9" style="1" customWidth="1"/>
    <col min="4" max="5" width="12" style="1" customWidth="1"/>
    <col min="6" max="6" width="11" style="1" customWidth="1"/>
    <col min="7" max="7" width="11.44140625" style="1" bestFit="1" customWidth="1"/>
    <col min="8" max="12" width="11" style="1" customWidth="1"/>
    <col min="13" max="13" width="11.44140625" style="1" bestFit="1" customWidth="1"/>
    <col min="14" max="14" width="11" style="1" customWidth="1"/>
    <col min="15" max="15" width="11.88671875" style="1" bestFit="1" customWidth="1"/>
    <col min="16" max="19" width="11" style="1" customWidth="1"/>
    <col min="20" max="20" width="12.5546875" style="1" bestFit="1" customWidth="1"/>
    <col min="21" max="21" width="11" style="1" customWidth="1"/>
    <col min="22" max="22" width="11.44140625" style="1" bestFit="1" customWidth="1"/>
    <col min="23" max="27" width="11" style="1" customWidth="1"/>
    <col min="28" max="28" width="11.44140625" style="1" bestFit="1" customWidth="1"/>
    <col min="29" max="29" width="11" style="1" customWidth="1"/>
    <col min="30" max="30" width="13.6640625" style="1" bestFit="1" customWidth="1"/>
    <col min="31" max="31" width="11.44140625" style="1" bestFit="1" customWidth="1"/>
    <col min="32" max="34" width="11" style="1" customWidth="1"/>
    <col min="35" max="35" width="14.33203125" style="1" bestFit="1" customWidth="1"/>
  </cols>
  <sheetData>
    <row r="1" spans="1:35" ht="15.75" customHeight="1" x14ac:dyDescent="0.3">
      <c r="A1" s="111" t="s">
        <v>127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 ht="15" customHeight="1" x14ac:dyDescent="0.3">
      <c r="A2" s="109" t="s">
        <v>128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</row>
    <row r="4" spans="1:35" ht="19.5" customHeight="1" x14ac:dyDescent="0.3">
      <c r="A4" s="26" t="s">
        <v>2</v>
      </c>
      <c r="B4" s="26" t="s">
        <v>3</v>
      </c>
      <c r="C4" s="26" t="s">
        <v>129</v>
      </c>
      <c r="D4" s="26" t="s">
        <v>130</v>
      </c>
      <c r="E4" s="26" t="s">
        <v>131</v>
      </c>
      <c r="F4" s="26" t="s">
        <v>132</v>
      </c>
      <c r="G4" s="26" t="s">
        <v>133</v>
      </c>
      <c r="H4" s="26" t="s">
        <v>134</v>
      </c>
      <c r="I4" s="26" t="s">
        <v>135</v>
      </c>
      <c r="J4" s="26" t="s">
        <v>136</v>
      </c>
      <c r="K4" s="26" t="s">
        <v>137</v>
      </c>
      <c r="L4" s="26" t="s">
        <v>138</v>
      </c>
      <c r="M4" s="26" t="s">
        <v>139</v>
      </c>
      <c r="N4" s="26" t="s">
        <v>140</v>
      </c>
      <c r="O4" s="26" t="s">
        <v>141</v>
      </c>
      <c r="P4" s="26" t="s">
        <v>142</v>
      </c>
      <c r="Q4" s="26" t="s">
        <v>143</v>
      </c>
      <c r="R4" s="26" t="s">
        <v>144</v>
      </c>
      <c r="S4" s="26" t="s">
        <v>145</v>
      </c>
      <c r="T4" s="26" t="s">
        <v>146</v>
      </c>
      <c r="U4" s="26" t="s">
        <v>147</v>
      </c>
      <c r="V4" s="26" t="s">
        <v>148</v>
      </c>
      <c r="W4" s="26" t="s">
        <v>149</v>
      </c>
      <c r="X4" s="26" t="s">
        <v>150</v>
      </c>
      <c r="Y4" s="26" t="s">
        <v>151</v>
      </c>
      <c r="Z4" s="26" t="s">
        <v>152</v>
      </c>
      <c r="AA4" s="26" t="s">
        <v>153</v>
      </c>
      <c r="AB4" s="26" t="s">
        <v>154</v>
      </c>
      <c r="AC4" s="26" t="s">
        <v>155</v>
      </c>
      <c r="AD4" s="26" t="s">
        <v>156</v>
      </c>
      <c r="AE4" s="26" t="s">
        <v>157</v>
      </c>
      <c r="AF4" s="26" t="s">
        <v>158</v>
      </c>
      <c r="AG4" s="26" t="s">
        <v>159</v>
      </c>
      <c r="AH4" s="26" t="s">
        <v>160</v>
      </c>
      <c r="AI4" s="26" t="s">
        <v>161</v>
      </c>
    </row>
    <row r="5" spans="1:35" ht="15" customHeight="1" x14ac:dyDescent="0.3">
      <c r="A5" s="27" t="s">
        <v>10</v>
      </c>
      <c r="B5" s="27" t="s">
        <v>11</v>
      </c>
      <c r="C5" s="28">
        <v>2019</v>
      </c>
      <c r="D5" s="29" t="str">
        <f t="shared" ref="D5:D36" si="0">A5&amp;"-"&amp;C5</f>
        <v>ALW-2019</v>
      </c>
      <c r="E5" s="29" t="str">
        <f t="shared" ref="E5:E36" si="1">A5&amp;"-"&amp;(C5-1)</f>
        <v>ALW-2018</v>
      </c>
      <c r="F5" s="30">
        <f>IFERROR(INDEX('Raw Data Input'!$F:$F,MATCH($D5,'Raw Data Input'!$D:$D,0)),0)</f>
        <v>76993</v>
      </c>
      <c r="G5" s="30">
        <f>IFERROR(INDEX('Raw Data Input'!$G:$G,MATCH($D5,'Raw Data Input'!$D:$D,0)),0)</f>
        <v>-77125</v>
      </c>
      <c r="H5" s="30">
        <f>IFERROR(INDEX('Raw Data Input'!$H:$H,MATCH($D5,'Raw Data Input'!$D:$D,0)),0)</f>
        <v>737</v>
      </c>
      <c r="I5" s="30">
        <f>IFERROR(INDEX('Raw Data Input'!$I:$I,MATCH($D5,'Raw Data Input'!$D:$D,0)),0)</f>
        <v>19473</v>
      </c>
      <c r="J5" s="30">
        <f>IFERROR(INDEX('Raw Data Input'!$J:$J,MATCH($D5,'Raw Data Input'!$D:$D,0)),0)</f>
        <v>206458</v>
      </c>
      <c r="K5" s="30">
        <f>IFERROR(INDEX('Raw Data Input'!$K:$K,MATCH($D5,'Raw Data Input'!$D:$D,0)),0)</f>
        <v>120</v>
      </c>
      <c r="L5" s="30">
        <f>IFERROR(INDEX('Raw Data Input'!$L:$L,MATCH($D5,'Raw Data Input'!$D:$D,0)),0)</f>
        <v>226051</v>
      </c>
      <c r="M5" s="30">
        <f>IFERROR(INDEX('Raw Data Input'!$M:$M,MATCH($D5,'Raw Data Input'!$D:$D,0)),0)</f>
        <v>-9257</v>
      </c>
      <c r="N5" s="30">
        <f>IFERROR(INDEX('Raw Data Input'!$N:$N,MATCH($D5,'Raw Data Input'!$D:$D,0)),0)</f>
        <v>7283</v>
      </c>
      <c r="O5" s="30">
        <f>IFERROR(INDEX('Raw Data Input'!$O:$O,MATCH($D5,'Raw Data Input'!$D:$D,0)),0)</f>
        <v>24199</v>
      </c>
      <c r="P5" s="30">
        <f>IFERROR(INDEX('Raw Data Input'!$P:$P,MATCH($D5,'Raw Data Input'!$D:$D,0)),0)</f>
        <v>2760</v>
      </c>
      <c r="Q5" s="30">
        <f>IFERROR(INDEX('Raw Data Input'!$Q:$Q,MATCH($D5,'Raw Data Input'!$D:$D,0)),0)</f>
        <v>154993</v>
      </c>
      <c r="R5" s="30">
        <f>IFERROR(INDEX('Raw Data Input'!$R:$R,MATCH($D5,'Raw Data Input'!$D:$D,0)),0)</f>
        <v>0</v>
      </c>
      <c r="S5" s="30">
        <f>IFERROR(INDEX('Raw Data Input'!$S:$S,MATCH($D5,'Raw Data Input'!$D:$D,0)),0)</f>
        <v>206309</v>
      </c>
      <c r="T5" s="30">
        <f>IFERROR(INDEX('Raw Data Input'!$T:$T,MATCH($D5,'Raw Data Input'!$D:$D,0)),0)</f>
        <v>19742</v>
      </c>
      <c r="U5" s="30">
        <f>IFERROR(INDEX('Raw Data Input'!$F:$F,MATCH($E5,'Raw Data Input'!$D:$D,0)),0)</f>
        <v>62495</v>
      </c>
      <c r="V5" s="30">
        <f>IFERROR(INDEX('Raw Data Input'!$G:$G,MATCH($E5,'Raw Data Input'!$D:$D,0)),0)</f>
        <v>-68275</v>
      </c>
      <c r="W5" s="30">
        <f>IFERROR(INDEX('Raw Data Input'!$H:$H,MATCH($E5,'Raw Data Input'!$D:$D,0)),0)</f>
        <v>555</v>
      </c>
      <c r="X5" s="30">
        <f>IFERROR(INDEX('Raw Data Input'!$I:$I,MATCH($E5,'Raw Data Input'!$D:$D,0)),0)</f>
        <v>16783</v>
      </c>
      <c r="Y5" s="30">
        <f>IFERROR(INDEX('Raw Data Input'!$J:$J,MATCH($E5,'Raw Data Input'!$D:$D,0)),0)</f>
        <v>213320</v>
      </c>
      <c r="Z5" s="30">
        <f>IFERROR(INDEX('Raw Data Input'!$K:$K,MATCH($E5,'Raw Data Input'!$D:$D,0)),0)</f>
        <v>120</v>
      </c>
      <c r="AA5" s="30">
        <f>IFERROR(INDEX('Raw Data Input'!$L:$L,MATCH($E5,'Raw Data Input'!$D:$D,0)),0)</f>
        <v>230133</v>
      </c>
      <c r="AB5" s="30">
        <f>IFERROR(INDEX('Raw Data Input'!$M:$M,MATCH($E5,'Raw Data Input'!$D:$D,0)),0)</f>
        <v>-10609</v>
      </c>
      <c r="AC5" s="30">
        <f>IFERROR(INDEX('Raw Data Input'!$N:$N,MATCH($E5,'Raw Data Input'!$D:$D,0)),0)</f>
        <v>5484</v>
      </c>
      <c r="AD5" s="30">
        <f>IFERROR(INDEX('Raw Data Input'!$O:$O,MATCH($E5,'Raw Data Input'!$D:$D,0)),0)</f>
        <v>33162</v>
      </c>
      <c r="AE5" s="30">
        <f>IFERROR(INDEX('Raw Data Input'!$P:$P,MATCH($E5,'Raw Data Input'!$D:$D,0)),0)</f>
        <v>-10161</v>
      </c>
      <c r="AF5" s="30">
        <f>IFERROR(INDEX('Raw Data Input'!$Q:$Q,MATCH($E5,'Raw Data Input'!$D:$D,0)),0)</f>
        <v>128850</v>
      </c>
      <c r="AG5" s="30">
        <f>IFERROR(INDEX('Raw Data Input'!$R:$R,MATCH($E5,'Raw Data Input'!$D:$D,0)),0)</f>
        <v>0</v>
      </c>
      <c r="AH5" s="30">
        <f>IFERROR(INDEX('Raw Data Input'!$S:$S,MATCH($E5,'Raw Data Input'!$D:$D,0)),0)</f>
        <v>156448</v>
      </c>
      <c r="AI5" s="30">
        <f>IFERROR(INDEX('Raw Data Input'!$T:$T,MATCH($E5,'Raw Data Input'!$D:$D,0)),0)</f>
        <v>73685</v>
      </c>
    </row>
    <row r="6" spans="1:35" ht="15" customHeight="1" x14ac:dyDescent="0.3">
      <c r="A6" s="27" t="s">
        <v>10</v>
      </c>
      <c r="B6" s="27" t="s">
        <v>11</v>
      </c>
      <c r="C6" s="28">
        <v>2020</v>
      </c>
      <c r="D6" s="29" t="str">
        <f t="shared" si="0"/>
        <v>ALW-2020</v>
      </c>
      <c r="E6" s="29" t="str">
        <f t="shared" si="1"/>
        <v>ALW-2019</v>
      </c>
      <c r="F6" s="30">
        <f>IFERROR(INDEX('Raw Data Input'!$F:$F,MATCH($D6,'Raw Data Input'!$D:$D,0)),0)</f>
        <v>68975</v>
      </c>
      <c r="G6" s="30">
        <f>IFERROR(INDEX('Raw Data Input'!$G:$G,MATCH($D6,'Raw Data Input'!$D:$D,0)),0)</f>
        <v>-74005</v>
      </c>
      <c r="H6" s="30">
        <f>IFERROR(INDEX('Raw Data Input'!$H:$H,MATCH($D6,'Raw Data Input'!$D:$D,0)),0)</f>
        <v>400</v>
      </c>
      <c r="I6" s="30">
        <f>IFERROR(INDEX('Raw Data Input'!$I:$I,MATCH($D6,'Raw Data Input'!$D:$D,0)),0)</f>
        <v>15182</v>
      </c>
      <c r="J6" s="30">
        <f>IFERROR(INDEX('Raw Data Input'!$J:$J,MATCH($D6,'Raw Data Input'!$D:$D,0)),0)</f>
        <v>200096</v>
      </c>
      <c r="K6" s="30">
        <f>IFERROR(INDEX('Raw Data Input'!$K:$K,MATCH($D6,'Raw Data Input'!$D:$D,0)),0)</f>
        <v>120</v>
      </c>
      <c r="L6" s="30">
        <f>IFERROR(INDEX('Raw Data Input'!$L:$L,MATCH($D6,'Raw Data Input'!$D:$D,0)),0)</f>
        <v>215398</v>
      </c>
      <c r="M6" s="30">
        <f>IFERROR(INDEX('Raw Data Input'!$M:$M,MATCH($D6,'Raw Data Input'!$D:$D,0)),0)</f>
        <v>-7327</v>
      </c>
      <c r="N6" s="30">
        <f>IFERROR(INDEX('Raw Data Input'!$N:$N,MATCH($D6,'Raw Data Input'!$D:$D,0)),0)</f>
        <v>6985</v>
      </c>
      <c r="O6" s="30">
        <f>IFERROR(INDEX('Raw Data Input'!$O:$O,MATCH($D6,'Raw Data Input'!$D:$D,0)),0)</f>
        <v>-33794</v>
      </c>
      <c r="P6" s="30">
        <f>IFERROR(INDEX('Raw Data Input'!$P:$P,MATCH($D6,'Raw Data Input'!$D:$D,0)),0)</f>
        <v>-4834</v>
      </c>
      <c r="Q6" s="30">
        <f>IFERROR(INDEX('Raw Data Input'!$Q:$Q,MATCH($D6,'Raw Data Input'!$D:$D,0)),0)</f>
        <v>181036</v>
      </c>
      <c r="R6" s="30">
        <f>IFERROR(INDEX('Raw Data Input'!$R:$R,MATCH($D6,'Raw Data Input'!$D:$D,0)),0)</f>
        <v>0</v>
      </c>
      <c r="S6" s="30">
        <f>IFERROR(INDEX('Raw Data Input'!$S:$S,MATCH($D6,'Raw Data Input'!$D:$D,0)),0)</f>
        <v>230081</v>
      </c>
      <c r="T6" s="30">
        <f>IFERROR(INDEX('Raw Data Input'!$T:$T,MATCH($D6,'Raw Data Input'!$D:$D,0)),0)</f>
        <v>-14683</v>
      </c>
      <c r="U6" s="30">
        <f>IFERROR(INDEX('Raw Data Input'!$F:$F,MATCH($E6,'Raw Data Input'!$D:$D,0)),0)</f>
        <v>76993</v>
      </c>
      <c r="V6" s="30">
        <f>IFERROR(INDEX('Raw Data Input'!$G:$G,MATCH($E6,'Raw Data Input'!$D:$D,0)),0)</f>
        <v>-77125</v>
      </c>
      <c r="W6" s="30">
        <f>IFERROR(INDEX('Raw Data Input'!$H:$H,MATCH($E6,'Raw Data Input'!$D:$D,0)),0)</f>
        <v>737</v>
      </c>
      <c r="X6" s="30">
        <f>IFERROR(INDEX('Raw Data Input'!$I:$I,MATCH($E6,'Raw Data Input'!$D:$D,0)),0)</f>
        <v>19473</v>
      </c>
      <c r="Y6" s="30">
        <f>IFERROR(INDEX('Raw Data Input'!$J:$J,MATCH($E6,'Raw Data Input'!$D:$D,0)),0)</f>
        <v>206458</v>
      </c>
      <c r="Z6" s="30">
        <f>IFERROR(INDEX('Raw Data Input'!$K:$K,MATCH($E6,'Raw Data Input'!$D:$D,0)),0)</f>
        <v>120</v>
      </c>
      <c r="AA6" s="30">
        <f>IFERROR(INDEX('Raw Data Input'!$L:$L,MATCH($E6,'Raw Data Input'!$D:$D,0)),0)</f>
        <v>226051</v>
      </c>
      <c r="AB6" s="30">
        <f>IFERROR(INDEX('Raw Data Input'!$M:$M,MATCH($E6,'Raw Data Input'!$D:$D,0)),0)</f>
        <v>-9257</v>
      </c>
      <c r="AC6" s="30">
        <f>IFERROR(INDEX('Raw Data Input'!$N:$N,MATCH($E6,'Raw Data Input'!$D:$D,0)),0)</f>
        <v>7283</v>
      </c>
      <c r="AD6" s="30">
        <f>IFERROR(INDEX('Raw Data Input'!$O:$O,MATCH($E6,'Raw Data Input'!$D:$D,0)),0)</f>
        <v>24199</v>
      </c>
      <c r="AE6" s="30">
        <f>IFERROR(INDEX('Raw Data Input'!$P:$P,MATCH($E6,'Raw Data Input'!$D:$D,0)),0)</f>
        <v>2760</v>
      </c>
      <c r="AF6" s="30">
        <f>IFERROR(INDEX('Raw Data Input'!$Q:$Q,MATCH($E6,'Raw Data Input'!$D:$D,0)),0)</f>
        <v>154993</v>
      </c>
      <c r="AG6" s="30">
        <f>IFERROR(INDEX('Raw Data Input'!$R:$R,MATCH($E6,'Raw Data Input'!$D:$D,0)),0)</f>
        <v>0</v>
      </c>
      <c r="AH6" s="30">
        <f>IFERROR(INDEX('Raw Data Input'!$S:$S,MATCH($E6,'Raw Data Input'!$D:$D,0)),0)</f>
        <v>206309</v>
      </c>
      <c r="AI6" s="30">
        <f>IFERROR(INDEX('Raw Data Input'!$T:$T,MATCH($E6,'Raw Data Input'!$D:$D,0)),0)</f>
        <v>19742</v>
      </c>
    </row>
    <row r="7" spans="1:35" ht="15" customHeight="1" x14ac:dyDescent="0.3">
      <c r="A7" s="27" t="s">
        <v>10</v>
      </c>
      <c r="B7" s="27" t="s">
        <v>11</v>
      </c>
      <c r="C7" s="28">
        <v>2021</v>
      </c>
      <c r="D7" s="29" t="str">
        <f t="shared" si="0"/>
        <v>ALW-2021</v>
      </c>
      <c r="E7" s="29" t="str">
        <f t="shared" si="1"/>
        <v>ALW-2020</v>
      </c>
      <c r="F7" s="30">
        <f>IFERROR(INDEX('Raw Data Input'!$F:$F,MATCH($D7,'Raw Data Input'!$D:$D,0)),0)</f>
        <v>99011</v>
      </c>
      <c r="G7" s="30">
        <f>IFERROR(INDEX('Raw Data Input'!$G:$G,MATCH($D7,'Raw Data Input'!$D:$D,0)),0)</f>
        <v>-113096</v>
      </c>
      <c r="H7" s="30">
        <f>IFERROR(INDEX('Raw Data Input'!$H:$H,MATCH($D7,'Raw Data Input'!$D:$D,0)),0)</f>
        <v>641</v>
      </c>
      <c r="I7" s="30">
        <f>IFERROR(INDEX('Raw Data Input'!$I:$I,MATCH($D7,'Raw Data Input'!$D:$D,0)),0)</f>
        <v>14276</v>
      </c>
      <c r="J7" s="30">
        <f>IFERROR(INDEX('Raw Data Input'!$J:$J,MATCH($D7,'Raw Data Input'!$D:$D,0)),0)</f>
        <v>217360</v>
      </c>
      <c r="K7" s="30">
        <f>IFERROR(INDEX('Raw Data Input'!$K:$K,MATCH($D7,'Raw Data Input'!$D:$D,0)),0)</f>
        <v>120</v>
      </c>
      <c r="L7" s="30">
        <f>IFERROR(INDEX('Raw Data Input'!$L:$L,MATCH($D7,'Raw Data Input'!$D:$D,0)),0)</f>
        <v>236102</v>
      </c>
      <c r="M7" s="30">
        <f>IFERROR(INDEX('Raw Data Input'!$M:$M,MATCH($D7,'Raw Data Input'!$D:$D,0)),0)</f>
        <v>-11666</v>
      </c>
      <c r="N7" s="30">
        <f>IFERROR(INDEX('Raw Data Input'!$N:$N,MATCH($D7,'Raw Data Input'!$D:$D,0)),0)</f>
        <v>10071</v>
      </c>
      <c r="O7" s="30">
        <f>IFERROR(INDEX('Raw Data Input'!$O:$O,MATCH($D7,'Raw Data Input'!$D:$D,0)),0)</f>
        <v>-65755</v>
      </c>
      <c r="P7" s="30">
        <f>IFERROR(INDEX('Raw Data Input'!$P:$P,MATCH($D7,'Raw Data Input'!$D:$D,0)),0)</f>
        <v>-26944</v>
      </c>
      <c r="Q7" s="30">
        <f>IFERROR(INDEX('Raw Data Input'!$Q:$Q,MATCH($D7,'Raw Data Input'!$D:$D,0)),0)</f>
        <v>189271</v>
      </c>
      <c r="R7" s="30">
        <f>IFERROR(INDEX('Raw Data Input'!$R:$R,MATCH($D7,'Raw Data Input'!$D:$D,0)),0)</f>
        <v>0</v>
      </c>
      <c r="S7" s="30">
        <f>IFERROR(INDEX('Raw Data Input'!$S:$S,MATCH($D7,'Raw Data Input'!$D:$D,0)),0)</f>
        <v>193621</v>
      </c>
      <c r="T7" s="30">
        <f>IFERROR(INDEX('Raw Data Input'!$T:$T,MATCH($D7,'Raw Data Input'!$D:$D,0)),0)</f>
        <v>42481</v>
      </c>
      <c r="U7" s="30">
        <f>IFERROR(INDEX('Raw Data Input'!$F:$F,MATCH($E7,'Raw Data Input'!$D:$D,0)),0)</f>
        <v>68975</v>
      </c>
      <c r="V7" s="30">
        <f>IFERROR(INDEX('Raw Data Input'!$G:$G,MATCH($E7,'Raw Data Input'!$D:$D,0)),0)</f>
        <v>-74005</v>
      </c>
      <c r="W7" s="30">
        <f>IFERROR(INDEX('Raw Data Input'!$H:$H,MATCH($E7,'Raw Data Input'!$D:$D,0)),0)</f>
        <v>400</v>
      </c>
      <c r="X7" s="30">
        <f>IFERROR(INDEX('Raw Data Input'!$I:$I,MATCH($E7,'Raw Data Input'!$D:$D,0)),0)</f>
        <v>15182</v>
      </c>
      <c r="Y7" s="30">
        <f>IFERROR(INDEX('Raw Data Input'!$J:$J,MATCH($E7,'Raw Data Input'!$D:$D,0)),0)</f>
        <v>200096</v>
      </c>
      <c r="Z7" s="30">
        <f>IFERROR(INDEX('Raw Data Input'!$K:$K,MATCH($E7,'Raw Data Input'!$D:$D,0)),0)</f>
        <v>120</v>
      </c>
      <c r="AA7" s="30">
        <f>IFERROR(INDEX('Raw Data Input'!$L:$L,MATCH($E7,'Raw Data Input'!$D:$D,0)),0)</f>
        <v>215398</v>
      </c>
      <c r="AB7" s="30">
        <f>IFERROR(INDEX('Raw Data Input'!$M:$M,MATCH($E7,'Raw Data Input'!$D:$D,0)),0)</f>
        <v>-7327</v>
      </c>
      <c r="AC7" s="30">
        <f>IFERROR(INDEX('Raw Data Input'!$N:$N,MATCH($E7,'Raw Data Input'!$D:$D,0)),0)</f>
        <v>6985</v>
      </c>
      <c r="AD7" s="30">
        <f>IFERROR(INDEX('Raw Data Input'!$O:$O,MATCH($E7,'Raw Data Input'!$D:$D,0)),0)</f>
        <v>-33794</v>
      </c>
      <c r="AE7" s="30">
        <f>IFERROR(INDEX('Raw Data Input'!$P:$P,MATCH($E7,'Raw Data Input'!$D:$D,0)),0)</f>
        <v>-4834</v>
      </c>
      <c r="AF7" s="30">
        <f>IFERROR(INDEX('Raw Data Input'!$Q:$Q,MATCH($E7,'Raw Data Input'!$D:$D,0)),0)</f>
        <v>181036</v>
      </c>
      <c r="AG7" s="30">
        <f>IFERROR(INDEX('Raw Data Input'!$R:$R,MATCH($E7,'Raw Data Input'!$D:$D,0)),0)</f>
        <v>0</v>
      </c>
      <c r="AH7" s="30">
        <f>IFERROR(INDEX('Raw Data Input'!$S:$S,MATCH($E7,'Raw Data Input'!$D:$D,0)),0)</f>
        <v>230081</v>
      </c>
      <c r="AI7" s="30">
        <f>IFERROR(INDEX('Raw Data Input'!$T:$T,MATCH($E7,'Raw Data Input'!$D:$D,0)),0)</f>
        <v>-14683</v>
      </c>
    </row>
    <row r="8" spans="1:35" ht="15" customHeight="1" x14ac:dyDescent="0.3">
      <c r="A8" s="27" t="s">
        <v>10</v>
      </c>
      <c r="B8" s="27" t="s">
        <v>11</v>
      </c>
      <c r="C8" s="28">
        <v>2022</v>
      </c>
      <c r="D8" s="29" t="str">
        <f t="shared" si="0"/>
        <v>ALW-2022</v>
      </c>
      <c r="E8" s="29" t="str">
        <f t="shared" si="1"/>
        <v>ALW-2021</v>
      </c>
      <c r="F8" s="30">
        <f>IFERROR(INDEX('Raw Data Input'!$F:$F,MATCH($D8,'Raw Data Input'!$D:$D,0)),0)</f>
        <v>33441</v>
      </c>
      <c r="G8" s="30">
        <f>IFERROR(INDEX('Raw Data Input'!$G:$G,MATCH($D8,'Raw Data Input'!$D:$D,0)),0)</f>
        <v>-58196</v>
      </c>
      <c r="H8" s="30">
        <f>IFERROR(INDEX('Raw Data Input'!$H:$H,MATCH($D8,'Raw Data Input'!$D:$D,0)),0)</f>
        <v>1086</v>
      </c>
      <c r="I8" s="30">
        <f>IFERROR(INDEX('Raw Data Input'!$I:$I,MATCH($D8,'Raw Data Input'!$D:$D,0)),0)</f>
        <v>16352</v>
      </c>
      <c r="J8" s="30">
        <f>IFERROR(INDEX('Raw Data Input'!$J:$J,MATCH($D8,'Raw Data Input'!$D:$D,0)),0)</f>
        <v>209318</v>
      </c>
      <c r="K8" s="30">
        <f>IFERROR(INDEX('Raw Data Input'!$K:$K,MATCH($D8,'Raw Data Input'!$D:$D,0)),0)</f>
        <v>0</v>
      </c>
      <c r="L8" s="30">
        <f>IFERROR(INDEX('Raw Data Input'!$L:$L,MATCH($D8,'Raw Data Input'!$D:$D,0)),0)</f>
        <v>230136</v>
      </c>
      <c r="M8" s="30">
        <f>IFERROR(INDEX('Raw Data Input'!$M:$M,MATCH($D8,'Raw Data Input'!$D:$D,0)),0)</f>
        <v>-10697</v>
      </c>
      <c r="N8" s="30">
        <f>IFERROR(INDEX('Raw Data Input'!$N:$N,MATCH($D8,'Raw Data Input'!$D:$D,0)),0)</f>
        <v>8071</v>
      </c>
      <c r="O8" s="30">
        <f>IFERROR(INDEX('Raw Data Input'!$O:$O,MATCH($D8,'Raw Data Input'!$D:$D,0)),0)</f>
        <v>-74943</v>
      </c>
      <c r="P8" s="30">
        <f>IFERROR(INDEX('Raw Data Input'!$P:$P,MATCH($D8,'Raw Data Input'!$D:$D,0)),0)</f>
        <v>473</v>
      </c>
      <c r="Q8" s="30">
        <f>IFERROR(INDEX('Raw Data Input'!$Q:$Q,MATCH($D8,'Raw Data Input'!$D:$D,0)),0)</f>
        <v>72289</v>
      </c>
      <c r="R8" s="30">
        <f>IFERROR(INDEX('Raw Data Input'!$R:$R,MATCH($D8,'Raw Data Input'!$D:$D,0)),0)</f>
        <v>0</v>
      </c>
      <c r="S8" s="30">
        <f>IFERROR(INDEX('Raw Data Input'!$S:$S,MATCH($D8,'Raw Data Input'!$D:$D,0)),0)</f>
        <v>262598</v>
      </c>
      <c r="T8" s="30">
        <f>IFERROR(INDEX('Raw Data Input'!$T:$T,MATCH($D8,'Raw Data Input'!$D:$D,0)),0)</f>
        <v>-32462</v>
      </c>
      <c r="U8" s="30">
        <f>IFERROR(INDEX('Raw Data Input'!$F:$F,MATCH($E8,'Raw Data Input'!$D:$D,0)),0)</f>
        <v>99011</v>
      </c>
      <c r="V8" s="30">
        <f>IFERROR(INDEX('Raw Data Input'!$G:$G,MATCH($E8,'Raw Data Input'!$D:$D,0)),0)</f>
        <v>-113096</v>
      </c>
      <c r="W8" s="30">
        <f>IFERROR(INDEX('Raw Data Input'!$H:$H,MATCH($E8,'Raw Data Input'!$D:$D,0)),0)</f>
        <v>641</v>
      </c>
      <c r="X8" s="30">
        <f>IFERROR(INDEX('Raw Data Input'!$I:$I,MATCH($E8,'Raw Data Input'!$D:$D,0)),0)</f>
        <v>14276</v>
      </c>
      <c r="Y8" s="30">
        <f>IFERROR(INDEX('Raw Data Input'!$J:$J,MATCH($E8,'Raw Data Input'!$D:$D,0)),0)</f>
        <v>217360</v>
      </c>
      <c r="Z8" s="30">
        <f>IFERROR(INDEX('Raw Data Input'!$K:$K,MATCH($E8,'Raw Data Input'!$D:$D,0)),0)</f>
        <v>120</v>
      </c>
      <c r="AA8" s="30">
        <f>IFERROR(INDEX('Raw Data Input'!$L:$L,MATCH($E8,'Raw Data Input'!$D:$D,0)),0)</f>
        <v>236102</v>
      </c>
      <c r="AB8" s="30">
        <f>IFERROR(INDEX('Raw Data Input'!$M:$M,MATCH($E8,'Raw Data Input'!$D:$D,0)),0)</f>
        <v>-11666</v>
      </c>
      <c r="AC8" s="30">
        <f>IFERROR(INDEX('Raw Data Input'!$N:$N,MATCH($E8,'Raw Data Input'!$D:$D,0)),0)</f>
        <v>10071</v>
      </c>
      <c r="AD8" s="30">
        <f>IFERROR(INDEX('Raw Data Input'!$O:$O,MATCH($E8,'Raw Data Input'!$D:$D,0)),0)</f>
        <v>-65755</v>
      </c>
      <c r="AE8" s="30">
        <f>IFERROR(INDEX('Raw Data Input'!$P:$P,MATCH($E8,'Raw Data Input'!$D:$D,0)),0)</f>
        <v>-26944</v>
      </c>
      <c r="AF8" s="30">
        <f>IFERROR(INDEX('Raw Data Input'!$Q:$Q,MATCH($E8,'Raw Data Input'!$D:$D,0)),0)</f>
        <v>189271</v>
      </c>
      <c r="AG8" s="30">
        <f>IFERROR(INDEX('Raw Data Input'!$R:$R,MATCH($E8,'Raw Data Input'!$D:$D,0)),0)</f>
        <v>0</v>
      </c>
      <c r="AH8" s="30">
        <f>IFERROR(INDEX('Raw Data Input'!$S:$S,MATCH($E8,'Raw Data Input'!$D:$D,0)),0)</f>
        <v>193621</v>
      </c>
      <c r="AI8" s="30">
        <f>IFERROR(INDEX('Raw Data Input'!$T:$T,MATCH($E8,'Raw Data Input'!$D:$D,0)),0)</f>
        <v>42481</v>
      </c>
    </row>
    <row r="9" spans="1:35" ht="15" customHeight="1" thickBot="1" x14ac:dyDescent="0.35">
      <c r="A9" s="70" t="s">
        <v>10</v>
      </c>
      <c r="B9" s="70" t="s">
        <v>11</v>
      </c>
      <c r="C9" s="71">
        <v>2023</v>
      </c>
      <c r="D9" s="72" t="str">
        <f t="shared" si="0"/>
        <v>ALW-2023</v>
      </c>
      <c r="E9" s="72" t="str">
        <f t="shared" si="1"/>
        <v>ALW-2022</v>
      </c>
      <c r="F9" s="73">
        <f>IFERROR(INDEX('Raw Data Input'!$F:$F,MATCH($D9,'Raw Data Input'!$D:$D,0)),0)</f>
        <v>0</v>
      </c>
      <c r="G9" s="73">
        <f>IFERROR(INDEX('Raw Data Input'!$G:$G,MATCH($D9,'Raw Data Input'!$D:$D,0)),0)</f>
        <v>0</v>
      </c>
      <c r="H9" s="73">
        <f>IFERROR(INDEX('Raw Data Input'!$H:$H,MATCH($D9,'Raw Data Input'!$D:$D,0)),0)</f>
        <v>0</v>
      </c>
      <c r="I9" s="73">
        <f>IFERROR(INDEX('Raw Data Input'!$I:$I,MATCH($D9,'Raw Data Input'!$D:$D,0)),0)</f>
        <v>0</v>
      </c>
      <c r="J9" s="73">
        <f>IFERROR(INDEX('Raw Data Input'!$J:$J,MATCH($D9,'Raw Data Input'!$D:$D,0)),0)</f>
        <v>0</v>
      </c>
      <c r="K9" s="73">
        <f>IFERROR(INDEX('Raw Data Input'!$K:$K,MATCH($D9,'Raw Data Input'!$D:$D,0)),0)</f>
        <v>0</v>
      </c>
      <c r="L9" s="73">
        <f>IFERROR(INDEX('Raw Data Input'!$L:$L,MATCH($D9,'Raw Data Input'!$D:$D,0)),0)</f>
        <v>0</v>
      </c>
      <c r="M9" s="73">
        <f>IFERROR(INDEX('Raw Data Input'!$M:$M,MATCH($D9,'Raw Data Input'!$D:$D,0)),0)</f>
        <v>0</v>
      </c>
      <c r="N9" s="73">
        <f>IFERROR(INDEX('Raw Data Input'!$N:$N,MATCH($D9,'Raw Data Input'!$D:$D,0)),0)</f>
        <v>0</v>
      </c>
      <c r="O9" s="73">
        <f>IFERROR(INDEX('Raw Data Input'!$O:$O,MATCH($D9,'Raw Data Input'!$D:$D,0)),0)</f>
        <v>0</v>
      </c>
      <c r="P9" s="73">
        <f>IFERROR(INDEX('Raw Data Input'!$P:$P,MATCH($D9,'Raw Data Input'!$D:$D,0)),0)</f>
        <v>0</v>
      </c>
      <c r="Q9" s="73">
        <f>IFERROR(INDEX('Raw Data Input'!$Q:$Q,MATCH($D9,'Raw Data Input'!$D:$D,0)),0)</f>
        <v>0</v>
      </c>
      <c r="R9" s="73">
        <f>IFERROR(INDEX('Raw Data Input'!$R:$R,MATCH($D9,'Raw Data Input'!$D:$D,0)),0)</f>
        <v>0</v>
      </c>
      <c r="S9" s="73">
        <f>IFERROR(INDEX('Raw Data Input'!$S:$S,MATCH($D9,'Raw Data Input'!$D:$D,0)),0)</f>
        <v>0</v>
      </c>
      <c r="T9" s="73">
        <f>IFERROR(INDEX('Raw Data Input'!$T:$T,MATCH($D9,'Raw Data Input'!$D:$D,0)),0)</f>
        <v>0</v>
      </c>
      <c r="U9" s="73">
        <f>IFERROR(INDEX('Raw Data Input'!$F:$F,MATCH($E9,'Raw Data Input'!$D:$D,0)),0)</f>
        <v>33441</v>
      </c>
      <c r="V9" s="73">
        <f>IFERROR(INDEX('Raw Data Input'!$G:$G,MATCH($E9,'Raw Data Input'!$D:$D,0)),0)</f>
        <v>-58196</v>
      </c>
      <c r="W9" s="73">
        <f>IFERROR(INDEX('Raw Data Input'!$H:$H,MATCH($E9,'Raw Data Input'!$D:$D,0)),0)</f>
        <v>1086</v>
      </c>
      <c r="X9" s="73">
        <f>IFERROR(INDEX('Raw Data Input'!$I:$I,MATCH($E9,'Raw Data Input'!$D:$D,0)),0)</f>
        <v>16352</v>
      </c>
      <c r="Y9" s="73">
        <f>IFERROR(INDEX('Raw Data Input'!$J:$J,MATCH($E9,'Raw Data Input'!$D:$D,0)),0)</f>
        <v>209318</v>
      </c>
      <c r="Z9" s="73">
        <f>IFERROR(INDEX('Raw Data Input'!$K:$K,MATCH($E9,'Raw Data Input'!$D:$D,0)),0)</f>
        <v>0</v>
      </c>
      <c r="AA9" s="73">
        <f>IFERROR(INDEX('Raw Data Input'!$L:$L,MATCH($E9,'Raw Data Input'!$D:$D,0)),0)</f>
        <v>230136</v>
      </c>
      <c r="AB9" s="73">
        <f>IFERROR(INDEX('Raw Data Input'!$M:$M,MATCH($E9,'Raw Data Input'!$D:$D,0)),0)</f>
        <v>-10697</v>
      </c>
      <c r="AC9" s="73">
        <f>IFERROR(INDEX('Raw Data Input'!$N:$N,MATCH($E9,'Raw Data Input'!$D:$D,0)),0)</f>
        <v>8071</v>
      </c>
      <c r="AD9" s="73">
        <f>IFERROR(INDEX('Raw Data Input'!$O:$O,MATCH($E9,'Raw Data Input'!$D:$D,0)),0)</f>
        <v>-74943</v>
      </c>
      <c r="AE9" s="73">
        <f>IFERROR(INDEX('Raw Data Input'!$P:$P,MATCH($E9,'Raw Data Input'!$D:$D,0)),0)</f>
        <v>473</v>
      </c>
      <c r="AF9" s="73">
        <f>IFERROR(INDEX('Raw Data Input'!$Q:$Q,MATCH($E9,'Raw Data Input'!$D:$D,0)),0)</f>
        <v>72289</v>
      </c>
      <c r="AG9" s="73">
        <f>IFERROR(INDEX('Raw Data Input'!$R:$R,MATCH($E9,'Raw Data Input'!$D:$D,0)),0)</f>
        <v>0</v>
      </c>
      <c r="AH9" s="73">
        <f>IFERROR(INDEX('Raw Data Input'!$S:$S,MATCH($E9,'Raw Data Input'!$D:$D,0)),0)</f>
        <v>262598</v>
      </c>
      <c r="AI9" s="73">
        <f>IFERROR(INDEX('Raw Data Input'!$T:$T,MATCH($E9,'Raw Data Input'!$D:$D,0)),0)</f>
        <v>-32462</v>
      </c>
    </row>
    <row r="10" spans="1:35" ht="15" customHeight="1" x14ac:dyDescent="0.3">
      <c r="A10" s="77" t="s">
        <v>16</v>
      </c>
      <c r="B10" s="77" t="s">
        <v>17</v>
      </c>
      <c r="C10" s="78">
        <v>2019</v>
      </c>
      <c r="D10" s="79" t="str">
        <f t="shared" si="0"/>
        <v>BOPP-2019</v>
      </c>
      <c r="E10" s="79" t="str">
        <f t="shared" si="1"/>
        <v>BOPP-2018</v>
      </c>
      <c r="F10" s="80">
        <f>IFERROR(INDEX('Raw Data Input'!$F:$F,MATCH($D10,'Raw Data Input'!$D:$D,0)),0)</f>
        <v>95620</v>
      </c>
      <c r="G10" s="80">
        <f>IFERROR(INDEX('Raw Data Input'!$G:$G,MATCH($D10,'Raw Data Input'!$D:$D,0)),0)</f>
        <v>-76240</v>
      </c>
      <c r="H10" s="80">
        <f>IFERROR(INDEX('Raw Data Input'!$H:$H,MATCH($D10,'Raw Data Input'!$D:$D,0)),0)</f>
        <v>0</v>
      </c>
      <c r="I10" s="80">
        <f>IFERROR(INDEX('Raw Data Input'!$I:$I,MATCH($D10,'Raw Data Input'!$D:$D,0)),0)</f>
        <v>38292</v>
      </c>
      <c r="J10" s="80">
        <f>IFERROR(INDEX('Raw Data Input'!$J:$J,MATCH($D10,'Raw Data Input'!$D:$D,0)),0)</f>
        <v>49471</v>
      </c>
      <c r="K10" s="80">
        <f>IFERROR(INDEX('Raw Data Input'!$K:$K,MATCH($D10,'Raw Data Input'!$D:$D,0)),0)</f>
        <v>0</v>
      </c>
      <c r="L10" s="80">
        <f>IFERROR(INDEX('Raw Data Input'!$L:$L,MATCH($D10,'Raw Data Input'!$D:$D,0)),0)</f>
        <v>92900</v>
      </c>
      <c r="M10" s="80">
        <f>IFERROR(INDEX('Raw Data Input'!$M:$M,MATCH($D10,'Raw Data Input'!$D:$D,0)),0)</f>
        <v>-8494</v>
      </c>
      <c r="N10" s="80">
        <f>IFERROR(INDEX('Raw Data Input'!$N:$N,MATCH($D10,'Raw Data Input'!$D:$D,0)),0)</f>
        <v>3995</v>
      </c>
      <c r="O10" s="80">
        <f>IFERROR(INDEX('Raw Data Input'!$O:$O,MATCH($D10,'Raw Data Input'!$D:$D,0)),0)</f>
        <v>9653</v>
      </c>
      <c r="P10" s="80">
        <f>IFERROR(INDEX('Raw Data Input'!$P:$P,MATCH($D10,'Raw Data Input'!$D:$D,0)),0)</f>
        <v>9770</v>
      </c>
      <c r="Q10" s="80">
        <f>IFERROR(INDEX('Raw Data Input'!$Q:$Q,MATCH($D10,'Raw Data Input'!$D:$D,0)),0)</f>
        <v>10290</v>
      </c>
      <c r="R10" s="80">
        <f>IFERROR(INDEX('Raw Data Input'!$R:$R,MATCH($D10,'Raw Data Input'!$D:$D,0)),0)</f>
        <v>0</v>
      </c>
      <c r="S10" s="80">
        <f>IFERROR(INDEX('Raw Data Input'!$S:$S,MATCH($D10,'Raw Data Input'!$D:$D,0)),0)</f>
        <v>16049</v>
      </c>
      <c r="T10" s="80">
        <f>IFERROR(INDEX('Raw Data Input'!$T:$T,MATCH($D10,'Raw Data Input'!$D:$D,0)),0)</f>
        <v>76851</v>
      </c>
      <c r="U10" s="80">
        <f>IFERROR(INDEX('Raw Data Input'!$F:$F,MATCH($E10,'Raw Data Input'!$D:$D,0)),0)</f>
        <v>70091</v>
      </c>
      <c r="V10" s="80">
        <f>IFERROR(INDEX('Raw Data Input'!$G:$G,MATCH($E10,'Raw Data Input'!$D:$D,0)),0)</f>
        <v>-65161</v>
      </c>
      <c r="W10" s="80">
        <f>IFERROR(INDEX('Raw Data Input'!$H:$H,MATCH($E10,'Raw Data Input'!$D:$D,0)),0)</f>
        <v>1035</v>
      </c>
      <c r="X10" s="80">
        <f>IFERROR(INDEX('Raw Data Input'!$I:$I,MATCH($E10,'Raw Data Input'!$D:$D,0)),0)</f>
        <v>29376</v>
      </c>
      <c r="Y10" s="80">
        <f>IFERROR(INDEX('Raw Data Input'!$J:$J,MATCH($E10,'Raw Data Input'!$D:$D,0)),0)</f>
        <v>47309</v>
      </c>
      <c r="Z10" s="80">
        <f>IFERROR(INDEX('Raw Data Input'!$K:$K,MATCH($E10,'Raw Data Input'!$D:$D,0)),0)</f>
        <v>0</v>
      </c>
      <c r="AA10" s="80">
        <f>IFERROR(INDEX('Raw Data Input'!$L:$L,MATCH($E10,'Raw Data Input'!$D:$D,0)),0)</f>
        <v>81435</v>
      </c>
      <c r="AB10" s="80">
        <f>IFERROR(INDEX('Raw Data Input'!$M:$M,MATCH($E10,'Raw Data Input'!$D:$D,0)),0)</f>
        <v>-9386</v>
      </c>
      <c r="AC10" s="80">
        <f>IFERROR(INDEX('Raw Data Input'!$N:$N,MATCH($E10,'Raw Data Input'!$D:$D,0)),0)</f>
        <v>3644</v>
      </c>
      <c r="AD10" s="80">
        <f>IFERROR(INDEX('Raw Data Input'!$O:$O,MATCH($E10,'Raw Data Input'!$D:$D,0)),0)</f>
        <v>5913</v>
      </c>
      <c r="AE10" s="80">
        <f>IFERROR(INDEX('Raw Data Input'!$P:$P,MATCH($E10,'Raw Data Input'!$D:$D,0)),0)</f>
        <v>11259</v>
      </c>
      <c r="AF10" s="80">
        <f>IFERROR(INDEX('Raw Data Input'!$Q:$Q,MATCH($E10,'Raw Data Input'!$D:$D,0)),0)</f>
        <v>8276</v>
      </c>
      <c r="AG10" s="80">
        <f>IFERROR(INDEX('Raw Data Input'!$R:$R,MATCH($E10,'Raw Data Input'!$D:$D,0)),0)</f>
        <v>0</v>
      </c>
      <c r="AH10" s="80">
        <f>IFERROR(INDEX('Raw Data Input'!$S:$S,MATCH($E10,'Raw Data Input'!$D:$D,0)),0)</f>
        <v>13054</v>
      </c>
      <c r="AI10" s="80">
        <f>IFERROR(INDEX('Raw Data Input'!$T:$T,MATCH($E10,'Raw Data Input'!$D:$D,0)),0)</f>
        <v>68381</v>
      </c>
    </row>
    <row r="11" spans="1:35" ht="15" customHeight="1" x14ac:dyDescent="0.3">
      <c r="A11" s="27" t="s">
        <v>16</v>
      </c>
      <c r="B11" s="27" t="s">
        <v>17</v>
      </c>
      <c r="C11" s="28">
        <v>2020</v>
      </c>
      <c r="D11" s="29" t="str">
        <f t="shared" si="0"/>
        <v>BOPP-2020</v>
      </c>
      <c r="E11" s="29" t="str">
        <f t="shared" si="1"/>
        <v>BOPP-2019</v>
      </c>
      <c r="F11" s="30">
        <f>IFERROR(INDEX('Raw Data Input'!$F:$F,MATCH($D11,'Raw Data Input'!$D:$D,0)),0)</f>
        <v>123817</v>
      </c>
      <c r="G11" s="30">
        <f>IFERROR(INDEX('Raw Data Input'!$G:$G,MATCH($D11,'Raw Data Input'!$D:$D,0)),0)</f>
        <v>-84940</v>
      </c>
      <c r="H11" s="30">
        <f>IFERROR(INDEX('Raw Data Input'!$H:$H,MATCH($D11,'Raw Data Input'!$D:$D,0)),0)</f>
        <v>0</v>
      </c>
      <c r="I11" s="30">
        <f>IFERROR(INDEX('Raw Data Input'!$I:$I,MATCH($D11,'Raw Data Input'!$D:$D,0)),0)</f>
        <v>49431</v>
      </c>
      <c r="J11" s="30">
        <f>IFERROR(INDEX('Raw Data Input'!$J:$J,MATCH($D11,'Raw Data Input'!$D:$D,0)),0)</f>
        <v>57909</v>
      </c>
      <c r="K11" s="30">
        <f>IFERROR(INDEX('Raw Data Input'!$K:$K,MATCH($D11,'Raw Data Input'!$D:$D,0)),0)</f>
        <v>0</v>
      </c>
      <c r="L11" s="30">
        <f>IFERROR(INDEX('Raw Data Input'!$L:$L,MATCH($D11,'Raw Data Input'!$D:$D,0)),0)</f>
        <v>119115</v>
      </c>
      <c r="M11" s="30">
        <f>IFERROR(INDEX('Raw Data Input'!$M:$M,MATCH($D11,'Raw Data Input'!$D:$D,0)),0)</f>
        <v>-11727</v>
      </c>
      <c r="N11" s="30">
        <f>IFERROR(INDEX('Raw Data Input'!$N:$N,MATCH($D11,'Raw Data Input'!$D:$D,0)),0)</f>
        <v>4757</v>
      </c>
      <c r="O11" s="30">
        <f>IFERROR(INDEX('Raw Data Input'!$O:$O,MATCH($D11,'Raw Data Input'!$D:$D,0)),0)</f>
        <v>24697</v>
      </c>
      <c r="P11" s="30">
        <f>IFERROR(INDEX('Raw Data Input'!$P:$P,MATCH($D11,'Raw Data Input'!$D:$D,0)),0)</f>
        <v>31347</v>
      </c>
      <c r="Q11" s="30">
        <f>IFERROR(INDEX('Raw Data Input'!$Q:$Q,MATCH($D11,'Raw Data Input'!$D:$D,0)),0)</f>
        <v>10087</v>
      </c>
      <c r="R11" s="30">
        <f>IFERROR(INDEX('Raw Data Input'!$R:$R,MATCH($D11,'Raw Data Input'!$D:$D,0)),0)</f>
        <v>0</v>
      </c>
      <c r="S11" s="30">
        <f>IFERROR(INDEX('Raw Data Input'!$S:$S,MATCH($D11,'Raw Data Input'!$D:$D,0)),0)</f>
        <v>19481</v>
      </c>
      <c r="T11" s="30">
        <f>IFERROR(INDEX('Raw Data Input'!$T:$T,MATCH($D11,'Raw Data Input'!$D:$D,0)),0)</f>
        <v>99634</v>
      </c>
      <c r="U11" s="30">
        <f>IFERROR(INDEX('Raw Data Input'!$F:$F,MATCH($E11,'Raw Data Input'!$D:$D,0)),0)</f>
        <v>95620</v>
      </c>
      <c r="V11" s="30">
        <f>IFERROR(INDEX('Raw Data Input'!$G:$G,MATCH($E11,'Raw Data Input'!$D:$D,0)),0)</f>
        <v>-76240</v>
      </c>
      <c r="W11" s="30">
        <f>IFERROR(INDEX('Raw Data Input'!$H:$H,MATCH($E11,'Raw Data Input'!$D:$D,0)),0)</f>
        <v>0</v>
      </c>
      <c r="X11" s="30">
        <f>IFERROR(INDEX('Raw Data Input'!$I:$I,MATCH($E11,'Raw Data Input'!$D:$D,0)),0)</f>
        <v>38292</v>
      </c>
      <c r="Y11" s="30">
        <f>IFERROR(INDEX('Raw Data Input'!$J:$J,MATCH($E11,'Raw Data Input'!$D:$D,0)),0)</f>
        <v>49471</v>
      </c>
      <c r="Z11" s="30">
        <f>IFERROR(INDEX('Raw Data Input'!$K:$K,MATCH($E11,'Raw Data Input'!$D:$D,0)),0)</f>
        <v>0</v>
      </c>
      <c r="AA11" s="30">
        <f>IFERROR(INDEX('Raw Data Input'!$L:$L,MATCH($E11,'Raw Data Input'!$D:$D,0)),0)</f>
        <v>92900</v>
      </c>
      <c r="AB11" s="30">
        <f>IFERROR(INDEX('Raw Data Input'!$M:$M,MATCH($E11,'Raw Data Input'!$D:$D,0)),0)</f>
        <v>-8494</v>
      </c>
      <c r="AC11" s="30">
        <f>IFERROR(INDEX('Raw Data Input'!$N:$N,MATCH($E11,'Raw Data Input'!$D:$D,0)),0)</f>
        <v>3995</v>
      </c>
      <c r="AD11" s="30">
        <f>IFERROR(INDEX('Raw Data Input'!$O:$O,MATCH($E11,'Raw Data Input'!$D:$D,0)),0)</f>
        <v>9653</v>
      </c>
      <c r="AE11" s="30">
        <f>IFERROR(INDEX('Raw Data Input'!$P:$P,MATCH($E11,'Raw Data Input'!$D:$D,0)),0)</f>
        <v>9770</v>
      </c>
      <c r="AF11" s="30">
        <f>IFERROR(INDEX('Raw Data Input'!$Q:$Q,MATCH($E11,'Raw Data Input'!$D:$D,0)),0)</f>
        <v>10290</v>
      </c>
      <c r="AG11" s="30">
        <f>IFERROR(INDEX('Raw Data Input'!$R:$R,MATCH($E11,'Raw Data Input'!$D:$D,0)),0)</f>
        <v>0</v>
      </c>
      <c r="AH11" s="30">
        <f>IFERROR(INDEX('Raw Data Input'!$S:$S,MATCH($E11,'Raw Data Input'!$D:$D,0)),0)</f>
        <v>16049</v>
      </c>
      <c r="AI11" s="30">
        <f>IFERROR(INDEX('Raw Data Input'!$T:$T,MATCH($E11,'Raw Data Input'!$D:$D,0)),0)</f>
        <v>76851</v>
      </c>
    </row>
    <row r="12" spans="1:35" ht="15" customHeight="1" x14ac:dyDescent="0.3">
      <c r="A12" s="27" t="s">
        <v>16</v>
      </c>
      <c r="B12" s="27" t="s">
        <v>17</v>
      </c>
      <c r="C12" s="28">
        <v>2021</v>
      </c>
      <c r="D12" s="29" t="str">
        <f t="shared" si="0"/>
        <v>BOPP-2021</v>
      </c>
      <c r="E12" s="29" t="str">
        <f t="shared" si="1"/>
        <v>BOPP-2020</v>
      </c>
      <c r="F12" s="30">
        <f>IFERROR(INDEX('Raw Data Input'!$F:$F,MATCH($D12,'Raw Data Input'!$D:$D,0)),0)</f>
        <v>214175</v>
      </c>
      <c r="G12" s="30">
        <f>IFERROR(INDEX('Raw Data Input'!$G:$G,MATCH($D12,'Raw Data Input'!$D:$D,0)),0)</f>
        <v>-101397</v>
      </c>
      <c r="H12" s="30">
        <f>IFERROR(INDEX('Raw Data Input'!$H:$H,MATCH($D12,'Raw Data Input'!$D:$D,0)),0)</f>
        <v>0</v>
      </c>
      <c r="I12" s="30">
        <f>IFERROR(INDEX('Raw Data Input'!$I:$I,MATCH($D12,'Raw Data Input'!$D:$D,0)),0)</f>
        <v>139104</v>
      </c>
      <c r="J12" s="30">
        <f>IFERROR(INDEX('Raw Data Input'!$J:$J,MATCH($D12,'Raw Data Input'!$D:$D,0)),0)</f>
        <v>64417</v>
      </c>
      <c r="K12" s="30">
        <f>IFERROR(INDEX('Raw Data Input'!$K:$K,MATCH($D12,'Raw Data Input'!$D:$D,0)),0)</f>
        <v>0</v>
      </c>
      <c r="L12" s="30">
        <f>IFERROR(INDEX('Raw Data Input'!$L:$L,MATCH($D12,'Raw Data Input'!$D:$D,0)),0)</f>
        <v>223123</v>
      </c>
      <c r="M12" s="30">
        <f>IFERROR(INDEX('Raw Data Input'!$M:$M,MATCH($D12,'Raw Data Input'!$D:$D,0)),0)</f>
        <v>-14943</v>
      </c>
      <c r="N12" s="30">
        <f>IFERROR(INDEX('Raw Data Input'!$N:$N,MATCH($D12,'Raw Data Input'!$D:$D,0)),0)</f>
        <v>5570</v>
      </c>
      <c r="O12" s="30">
        <f>IFERROR(INDEX('Raw Data Input'!$O:$O,MATCH($D12,'Raw Data Input'!$D:$D,0)),0)</f>
        <v>92423</v>
      </c>
      <c r="P12" s="30">
        <f>IFERROR(INDEX('Raw Data Input'!$P:$P,MATCH($D12,'Raw Data Input'!$D:$D,0)),0)</f>
        <v>35256</v>
      </c>
      <c r="Q12" s="30">
        <f>IFERROR(INDEX('Raw Data Input'!$Q:$Q,MATCH($D12,'Raw Data Input'!$D:$D,0)),0)</f>
        <v>30368</v>
      </c>
      <c r="R12" s="30">
        <f>IFERROR(INDEX('Raw Data Input'!$R:$R,MATCH($D12,'Raw Data Input'!$D:$D,0)),0)</f>
        <v>0</v>
      </c>
      <c r="S12" s="30">
        <f>IFERROR(INDEX('Raw Data Input'!$S:$S,MATCH($D12,'Raw Data Input'!$D:$D,0)),0)</f>
        <v>38484</v>
      </c>
      <c r="T12" s="30">
        <f>IFERROR(INDEX('Raw Data Input'!$T:$T,MATCH($D12,'Raw Data Input'!$D:$D,0)),0)</f>
        <v>184639</v>
      </c>
      <c r="U12" s="30">
        <f>IFERROR(INDEX('Raw Data Input'!$F:$F,MATCH($E12,'Raw Data Input'!$D:$D,0)),0)</f>
        <v>123817</v>
      </c>
      <c r="V12" s="30">
        <f>IFERROR(INDEX('Raw Data Input'!$G:$G,MATCH($E12,'Raw Data Input'!$D:$D,0)),0)</f>
        <v>-84940</v>
      </c>
      <c r="W12" s="30">
        <f>IFERROR(INDEX('Raw Data Input'!$H:$H,MATCH($E12,'Raw Data Input'!$D:$D,0)),0)</f>
        <v>0</v>
      </c>
      <c r="X12" s="30">
        <f>IFERROR(INDEX('Raw Data Input'!$I:$I,MATCH($E12,'Raw Data Input'!$D:$D,0)),0)</f>
        <v>49431</v>
      </c>
      <c r="Y12" s="30">
        <f>IFERROR(INDEX('Raw Data Input'!$J:$J,MATCH($E12,'Raw Data Input'!$D:$D,0)),0)</f>
        <v>57909</v>
      </c>
      <c r="Z12" s="30">
        <f>IFERROR(INDEX('Raw Data Input'!$K:$K,MATCH($E12,'Raw Data Input'!$D:$D,0)),0)</f>
        <v>0</v>
      </c>
      <c r="AA12" s="30">
        <f>IFERROR(INDEX('Raw Data Input'!$L:$L,MATCH($E12,'Raw Data Input'!$D:$D,0)),0)</f>
        <v>119115</v>
      </c>
      <c r="AB12" s="30">
        <f>IFERROR(INDEX('Raw Data Input'!$M:$M,MATCH($E12,'Raw Data Input'!$D:$D,0)),0)</f>
        <v>-11727</v>
      </c>
      <c r="AC12" s="30">
        <f>IFERROR(INDEX('Raw Data Input'!$N:$N,MATCH($E12,'Raw Data Input'!$D:$D,0)),0)</f>
        <v>4757</v>
      </c>
      <c r="AD12" s="30">
        <f>IFERROR(INDEX('Raw Data Input'!$O:$O,MATCH($E12,'Raw Data Input'!$D:$D,0)),0)</f>
        <v>24697</v>
      </c>
      <c r="AE12" s="30">
        <f>IFERROR(INDEX('Raw Data Input'!$P:$P,MATCH($E12,'Raw Data Input'!$D:$D,0)),0)</f>
        <v>31347</v>
      </c>
      <c r="AF12" s="30">
        <f>IFERROR(INDEX('Raw Data Input'!$Q:$Q,MATCH($E12,'Raw Data Input'!$D:$D,0)),0)</f>
        <v>10087</v>
      </c>
      <c r="AG12" s="30">
        <f>IFERROR(INDEX('Raw Data Input'!$R:$R,MATCH($E12,'Raw Data Input'!$D:$D,0)),0)</f>
        <v>0</v>
      </c>
      <c r="AH12" s="30">
        <f>IFERROR(INDEX('Raw Data Input'!$S:$S,MATCH($E12,'Raw Data Input'!$D:$D,0)),0)</f>
        <v>19481</v>
      </c>
      <c r="AI12" s="30">
        <f>IFERROR(INDEX('Raw Data Input'!$T:$T,MATCH($E12,'Raw Data Input'!$D:$D,0)),0)</f>
        <v>99634</v>
      </c>
    </row>
    <row r="13" spans="1:35" ht="15" customHeight="1" x14ac:dyDescent="0.3">
      <c r="A13" s="27" t="s">
        <v>16</v>
      </c>
      <c r="B13" s="27" t="s">
        <v>17</v>
      </c>
      <c r="C13" s="28">
        <v>2022</v>
      </c>
      <c r="D13" s="29" t="str">
        <f t="shared" si="0"/>
        <v>BOPP-2022</v>
      </c>
      <c r="E13" s="29" t="str">
        <f t="shared" si="1"/>
        <v>BOPP-2021</v>
      </c>
      <c r="F13" s="30">
        <f>IFERROR(INDEX('Raw Data Input'!$F:$F,MATCH($D13,'Raw Data Input'!$D:$D,0)),0)</f>
        <v>340496</v>
      </c>
      <c r="G13" s="30">
        <f>IFERROR(INDEX('Raw Data Input'!$G:$G,MATCH($D13,'Raw Data Input'!$D:$D,0)),0)</f>
        <v>-157865</v>
      </c>
      <c r="H13" s="30">
        <f>IFERROR(INDEX('Raw Data Input'!$H:$H,MATCH($D13,'Raw Data Input'!$D:$D,0)),0)</f>
        <v>0</v>
      </c>
      <c r="I13" s="30">
        <f>IFERROR(INDEX('Raw Data Input'!$I:$I,MATCH($D13,'Raw Data Input'!$D:$D,0)),0)</f>
        <v>197444</v>
      </c>
      <c r="J13" s="30">
        <f>IFERROR(INDEX('Raw Data Input'!$J:$J,MATCH($D13,'Raw Data Input'!$D:$D,0)),0)</f>
        <v>95446</v>
      </c>
      <c r="K13" s="30">
        <f>IFERROR(INDEX('Raw Data Input'!$K:$K,MATCH($D13,'Raw Data Input'!$D:$D,0)),0)</f>
        <v>0</v>
      </c>
      <c r="L13" s="30">
        <f>IFERROR(INDEX('Raw Data Input'!$L:$L,MATCH($D13,'Raw Data Input'!$D:$D,0)),0)</f>
        <v>324730</v>
      </c>
      <c r="M13" s="30">
        <f>IFERROR(INDEX('Raw Data Input'!$M:$M,MATCH($D13,'Raw Data Input'!$D:$D,0)),0)</f>
        <v>-23345</v>
      </c>
      <c r="N13" s="30">
        <f>IFERROR(INDEX('Raw Data Input'!$N:$N,MATCH($D13,'Raw Data Input'!$D:$D,0)),0)</f>
        <v>7092</v>
      </c>
      <c r="O13" s="30">
        <f>IFERROR(INDEX('Raw Data Input'!$O:$O,MATCH($D13,'Raw Data Input'!$D:$D,0)),0)</f>
        <v>160354</v>
      </c>
      <c r="P13" s="30">
        <f>IFERROR(INDEX('Raw Data Input'!$P:$P,MATCH($D13,'Raw Data Input'!$D:$D,0)),0)</f>
        <v>126476</v>
      </c>
      <c r="Q13" s="30">
        <f>IFERROR(INDEX('Raw Data Input'!$Q:$Q,MATCH($D13,'Raw Data Input'!$D:$D,0)),0)</f>
        <v>44818</v>
      </c>
      <c r="R13" s="30">
        <f>IFERROR(INDEX('Raw Data Input'!$R:$R,MATCH($D13,'Raw Data Input'!$D:$D,0)),0)</f>
        <v>0</v>
      </c>
      <c r="S13" s="30">
        <f>IFERROR(INDEX('Raw Data Input'!$S:$S,MATCH($D13,'Raw Data Input'!$D:$D,0)),0)</f>
        <v>55999</v>
      </c>
      <c r="T13" s="30">
        <f>IFERROR(INDEX('Raw Data Input'!$T:$T,MATCH($D13,'Raw Data Input'!$D:$D,0)),0)</f>
        <v>268731</v>
      </c>
      <c r="U13" s="30">
        <f>IFERROR(INDEX('Raw Data Input'!$F:$F,MATCH($E13,'Raw Data Input'!$D:$D,0)),0)</f>
        <v>214175</v>
      </c>
      <c r="V13" s="30">
        <f>IFERROR(INDEX('Raw Data Input'!$G:$G,MATCH($E13,'Raw Data Input'!$D:$D,0)),0)</f>
        <v>-101397</v>
      </c>
      <c r="W13" s="30">
        <f>IFERROR(INDEX('Raw Data Input'!$H:$H,MATCH($E13,'Raw Data Input'!$D:$D,0)),0)</f>
        <v>0</v>
      </c>
      <c r="X13" s="30">
        <f>IFERROR(INDEX('Raw Data Input'!$I:$I,MATCH($E13,'Raw Data Input'!$D:$D,0)),0)</f>
        <v>139104</v>
      </c>
      <c r="Y13" s="30">
        <f>IFERROR(INDEX('Raw Data Input'!$J:$J,MATCH($E13,'Raw Data Input'!$D:$D,0)),0)</f>
        <v>64417</v>
      </c>
      <c r="Z13" s="30">
        <f>IFERROR(INDEX('Raw Data Input'!$K:$K,MATCH($E13,'Raw Data Input'!$D:$D,0)),0)</f>
        <v>0</v>
      </c>
      <c r="AA13" s="30">
        <f>IFERROR(INDEX('Raw Data Input'!$L:$L,MATCH($E13,'Raw Data Input'!$D:$D,0)),0)</f>
        <v>223123</v>
      </c>
      <c r="AB13" s="30">
        <f>IFERROR(INDEX('Raw Data Input'!$M:$M,MATCH($E13,'Raw Data Input'!$D:$D,0)),0)</f>
        <v>-14943</v>
      </c>
      <c r="AC13" s="30">
        <f>IFERROR(INDEX('Raw Data Input'!$N:$N,MATCH($E13,'Raw Data Input'!$D:$D,0)),0)</f>
        <v>5570</v>
      </c>
      <c r="AD13" s="30">
        <f>IFERROR(INDEX('Raw Data Input'!$O:$O,MATCH($E13,'Raw Data Input'!$D:$D,0)),0)</f>
        <v>92423</v>
      </c>
      <c r="AE13" s="30">
        <f>IFERROR(INDEX('Raw Data Input'!$P:$P,MATCH($E13,'Raw Data Input'!$D:$D,0)),0)</f>
        <v>35256</v>
      </c>
      <c r="AF13" s="30">
        <f>IFERROR(INDEX('Raw Data Input'!$Q:$Q,MATCH($E13,'Raw Data Input'!$D:$D,0)),0)</f>
        <v>30368</v>
      </c>
      <c r="AG13" s="30">
        <f>IFERROR(INDEX('Raw Data Input'!$R:$R,MATCH($E13,'Raw Data Input'!$D:$D,0)),0)</f>
        <v>0</v>
      </c>
      <c r="AH13" s="30">
        <f>IFERROR(INDEX('Raw Data Input'!$S:$S,MATCH($E13,'Raw Data Input'!$D:$D,0)),0)</f>
        <v>38484</v>
      </c>
      <c r="AI13" s="30">
        <f>IFERROR(INDEX('Raw Data Input'!$T:$T,MATCH($E13,'Raw Data Input'!$D:$D,0)),0)</f>
        <v>184639</v>
      </c>
    </row>
    <row r="14" spans="1:35" ht="15" customHeight="1" thickBot="1" x14ac:dyDescent="0.35">
      <c r="A14" s="81" t="s">
        <v>16</v>
      </c>
      <c r="B14" s="81" t="s">
        <v>17</v>
      </c>
      <c r="C14" s="82">
        <v>2023</v>
      </c>
      <c r="D14" s="83" t="str">
        <f t="shared" si="0"/>
        <v>BOPP-2023</v>
      </c>
      <c r="E14" s="83" t="str">
        <f t="shared" si="1"/>
        <v>BOPP-2022</v>
      </c>
      <c r="F14" s="84">
        <f>IFERROR(INDEX('Raw Data Input'!$F:$F,MATCH($D14,'Raw Data Input'!$D:$D,0)),0)</f>
        <v>351611</v>
      </c>
      <c r="G14" s="84">
        <f>IFERROR(INDEX('Raw Data Input'!$G:$G,MATCH($D14,'Raw Data Input'!$D:$D,0)),0)</f>
        <v>-220401</v>
      </c>
      <c r="H14" s="84">
        <f>IFERROR(INDEX('Raw Data Input'!$H:$H,MATCH($D14,'Raw Data Input'!$D:$D,0)),0)</f>
        <v>0</v>
      </c>
      <c r="I14" s="84">
        <f>IFERROR(INDEX('Raw Data Input'!$I:$I,MATCH($D14,'Raw Data Input'!$D:$D,0)),0)</f>
        <v>184352</v>
      </c>
      <c r="J14" s="84">
        <f>IFERROR(INDEX('Raw Data Input'!$J:$J,MATCH($D14,'Raw Data Input'!$D:$D,0)),0)</f>
        <v>136833</v>
      </c>
      <c r="K14" s="84">
        <f>IFERROR(INDEX('Raw Data Input'!$K:$K,MATCH($D14,'Raw Data Input'!$D:$D,0)),0)</f>
        <v>0</v>
      </c>
      <c r="L14" s="84">
        <f>IFERROR(INDEX('Raw Data Input'!$L:$L,MATCH($D14,'Raw Data Input'!$D:$D,0)),0)</f>
        <v>369175</v>
      </c>
      <c r="M14" s="84">
        <f>IFERROR(INDEX('Raw Data Input'!$M:$M,MATCH($D14,'Raw Data Input'!$D:$D,0)),0)</f>
        <v>-31843</v>
      </c>
      <c r="N14" s="84">
        <f>IFERROR(INDEX('Raw Data Input'!$N:$N,MATCH($D14,'Raw Data Input'!$D:$D,0)),0)</f>
        <v>10714</v>
      </c>
      <c r="O14" s="84">
        <f>IFERROR(INDEX('Raw Data Input'!$O:$O,MATCH($D14,'Raw Data Input'!$D:$D,0)),0)</f>
        <v>102813</v>
      </c>
      <c r="P14" s="84">
        <f>IFERROR(INDEX('Raw Data Input'!$P:$P,MATCH($D14,'Raw Data Input'!$D:$D,0)),0)</f>
        <v>180308</v>
      </c>
      <c r="Q14" s="84">
        <f>IFERROR(INDEX('Raw Data Input'!$Q:$Q,MATCH($D14,'Raw Data Input'!$D:$D,0)),0)</f>
        <v>61933</v>
      </c>
      <c r="R14" s="84">
        <f>IFERROR(INDEX('Raw Data Input'!$R:$R,MATCH($D14,'Raw Data Input'!$D:$D,0)),0)</f>
        <v>0</v>
      </c>
      <c r="S14" s="84">
        <f>IFERROR(INDEX('Raw Data Input'!$S:$S,MATCH($D14,'Raw Data Input'!$D:$D,0)),0)</f>
        <v>77292</v>
      </c>
      <c r="T14" s="84">
        <f>IFERROR(INDEX('Raw Data Input'!$T:$T,MATCH($D14,'Raw Data Input'!$D:$D,0)),0)</f>
        <v>291883</v>
      </c>
      <c r="U14" s="84">
        <f>IFERROR(INDEX('Raw Data Input'!$F:$F,MATCH($E14,'Raw Data Input'!$D:$D,0)),0)</f>
        <v>340496</v>
      </c>
      <c r="V14" s="84">
        <f>IFERROR(INDEX('Raw Data Input'!$G:$G,MATCH($E14,'Raw Data Input'!$D:$D,0)),0)</f>
        <v>-157865</v>
      </c>
      <c r="W14" s="84">
        <f>IFERROR(INDEX('Raw Data Input'!$H:$H,MATCH($E14,'Raw Data Input'!$D:$D,0)),0)</f>
        <v>0</v>
      </c>
      <c r="X14" s="84">
        <f>IFERROR(INDEX('Raw Data Input'!$I:$I,MATCH($E14,'Raw Data Input'!$D:$D,0)),0)</f>
        <v>197444</v>
      </c>
      <c r="Y14" s="84">
        <f>IFERROR(INDEX('Raw Data Input'!$J:$J,MATCH($E14,'Raw Data Input'!$D:$D,0)),0)</f>
        <v>95446</v>
      </c>
      <c r="Z14" s="84">
        <f>IFERROR(INDEX('Raw Data Input'!$K:$K,MATCH($E14,'Raw Data Input'!$D:$D,0)),0)</f>
        <v>0</v>
      </c>
      <c r="AA14" s="84">
        <f>IFERROR(INDEX('Raw Data Input'!$L:$L,MATCH($E14,'Raw Data Input'!$D:$D,0)),0)</f>
        <v>324730</v>
      </c>
      <c r="AB14" s="84">
        <f>IFERROR(INDEX('Raw Data Input'!$M:$M,MATCH($E14,'Raw Data Input'!$D:$D,0)),0)</f>
        <v>-23345</v>
      </c>
      <c r="AC14" s="84">
        <f>IFERROR(INDEX('Raw Data Input'!$N:$N,MATCH($E14,'Raw Data Input'!$D:$D,0)),0)</f>
        <v>7092</v>
      </c>
      <c r="AD14" s="84">
        <f>IFERROR(INDEX('Raw Data Input'!$O:$O,MATCH($E14,'Raw Data Input'!$D:$D,0)),0)</f>
        <v>160354</v>
      </c>
      <c r="AE14" s="84">
        <f>IFERROR(INDEX('Raw Data Input'!$P:$P,MATCH($E14,'Raw Data Input'!$D:$D,0)),0)</f>
        <v>126476</v>
      </c>
      <c r="AF14" s="84">
        <f>IFERROR(INDEX('Raw Data Input'!$Q:$Q,MATCH($E14,'Raw Data Input'!$D:$D,0)),0)</f>
        <v>44818</v>
      </c>
      <c r="AG14" s="84">
        <f>IFERROR(INDEX('Raw Data Input'!$R:$R,MATCH($E14,'Raw Data Input'!$D:$D,0)),0)</f>
        <v>0</v>
      </c>
      <c r="AH14" s="84">
        <f>IFERROR(INDEX('Raw Data Input'!$S:$S,MATCH($E14,'Raw Data Input'!$D:$D,0)),0)</f>
        <v>55999</v>
      </c>
      <c r="AI14" s="84">
        <f>IFERROR(INDEX('Raw Data Input'!$T:$T,MATCH($E14,'Raw Data Input'!$D:$D,0)),0)</f>
        <v>268731</v>
      </c>
    </row>
    <row r="15" spans="1:35" ht="15" customHeight="1" x14ac:dyDescent="0.3">
      <c r="A15" s="85" t="s">
        <v>19</v>
      </c>
      <c r="B15" s="85" t="s">
        <v>20</v>
      </c>
      <c r="C15" s="86">
        <v>2019</v>
      </c>
      <c r="D15" s="87" t="str">
        <f t="shared" si="0"/>
        <v>CLYD-2019</v>
      </c>
      <c r="E15" s="87" t="str">
        <f t="shared" si="1"/>
        <v>CLYD-2018</v>
      </c>
      <c r="F15" s="88">
        <f>IFERROR(INDEX('Raw Data Input'!$F:$F,MATCH($D15,'Raw Data Input'!$D:$D,0)),0)</f>
        <v>7244821</v>
      </c>
      <c r="G15" s="88">
        <f>IFERROR(INDEX('Raw Data Input'!$G:$G,MATCH($D15,'Raw Data Input'!$D:$D,0)),0)</f>
        <v>-5322352</v>
      </c>
      <c r="H15" s="88">
        <f>IFERROR(INDEX('Raw Data Input'!$H:$H,MATCH($D15,'Raw Data Input'!$D:$D,0)),0)</f>
        <v>2083907</v>
      </c>
      <c r="I15" s="88">
        <f>IFERROR(INDEX('Raw Data Input'!$I:$I,MATCH($D15,'Raw Data Input'!$D:$D,0)),0)</f>
        <v>3935378</v>
      </c>
      <c r="J15" s="88">
        <f>IFERROR(INDEX('Raw Data Input'!$J:$J,MATCH($D15,'Raw Data Input'!$D:$D,0)),0)</f>
        <v>235519</v>
      </c>
      <c r="K15" s="88">
        <f>IFERROR(INDEX('Raw Data Input'!$K:$K,MATCH($D15,'Raw Data Input'!$D:$D,0)),0)</f>
        <v>0</v>
      </c>
      <c r="L15" s="88">
        <f>IFERROR(INDEX('Raw Data Input'!$L:$L,MATCH($D15,'Raw Data Input'!$D:$D,0)),0)</f>
        <v>5441358</v>
      </c>
      <c r="M15" s="88">
        <f>IFERROR(INDEX('Raw Data Input'!$M:$M,MATCH($D15,'Raw Data Input'!$D:$D,0)),0)</f>
        <v>1187033</v>
      </c>
      <c r="N15" s="88">
        <f>IFERROR(INDEX('Raw Data Input'!$N:$N,MATCH($D15,'Raw Data Input'!$D:$D,0)),0)</f>
        <v>90072</v>
      </c>
      <c r="O15" s="88">
        <f>IFERROR(INDEX('Raw Data Input'!$O:$O,MATCH($D15,'Raw Data Input'!$D:$D,0)),0)</f>
        <v>224284</v>
      </c>
      <c r="P15" s="88">
        <f>IFERROR(INDEX('Raw Data Input'!$P:$P,MATCH($D15,'Raw Data Input'!$D:$D,0)),0)</f>
        <v>448938</v>
      </c>
      <c r="Q15" s="88">
        <f>IFERROR(INDEX('Raw Data Input'!$Q:$Q,MATCH($D15,'Raw Data Input'!$D:$D,0)),0)</f>
        <v>3174611</v>
      </c>
      <c r="R15" s="88">
        <f>IFERROR(INDEX('Raw Data Input'!$R:$R,MATCH($D15,'Raw Data Input'!$D:$D,0)),0)</f>
        <v>0</v>
      </c>
      <c r="S15" s="88">
        <f>IFERROR(INDEX('Raw Data Input'!$S:$S,MATCH($D15,'Raw Data Input'!$D:$D,0)),0)</f>
        <v>4395995</v>
      </c>
      <c r="T15" s="88">
        <f>IFERROR(INDEX('Raw Data Input'!$T:$T,MATCH($D15,'Raw Data Input'!$D:$D,0)),0)</f>
        <v>1045363</v>
      </c>
      <c r="U15" s="88">
        <f>IFERROR(INDEX('Raw Data Input'!$F:$F,MATCH($E15,'Raw Data Input'!$D:$D,0)),0)</f>
        <v>5861359</v>
      </c>
      <c r="V15" s="88">
        <f>IFERROR(INDEX('Raw Data Input'!$G:$G,MATCH($E15,'Raw Data Input'!$D:$D,0)),0)</f>
        <v>-4244824</v>
      </c>
      <c r="W15" s="88">
        <f>IFERROR(INDEX('Raw Data Input'!$H:$H,MATCH($E15,'Raw Data Input'!$D:$D,0)),0)</f>
        <v>2284453</v>
      </c>
      <c r="X15" s="88">
        <f>IFERROR(INDEX('Raw Data Input'!$I:$I,MATCH($E15,'Raw Data Input'!$D:$D,0)),0)</f>
        <v>3755240</v>
      </c>
      <c r="Y15" s="88">
        <f>IFERROR(INDEX('Raw Data Input'!$J:$J,MATCH($E15,'Raw Data Input'!$D:$D,0)),0)</f>
        <v>311659</v>
      </c>
      <c r="Z15" s="88">
        <f>IFERROR(INDEX('Raw Data Input'!$K:$K,MATCH($E15,'Raw Data Input'!$D:$D,0)),0)</f>
        <v>3100</v>
      </c>
      <c r="AA15" s="88">
        <f>IFERROR(INDEX('Raw Data Input'!$L:$L,MATCH($E15,'Raw Data Input'!$D:$D,0)),0)</f>
        <v>5339861</v>
      </c>
      <c r="AB15" s="88">
        <f>IFERROR(INDEX('Raw Data Input'!$M:$M,MATCH($E15,'Raw Data Input'!$D:$D,0)),0)</f>
        <v>1159536</v>
      </c>
      <c r="AC15" s="88">
        <f>IFERROR(INDEX('Raw Data Input'!$N:$N,MATCH($E15,'Raw Data Input'!$D:$D,0)),0)</f>
        <v>119081</v>
      </c>
      <c r="AD15" s="88">
        <f>IFERROR(INDEX('Raw Data Input'!$O:$O,MATCH($E15,'Raw Data Input'!$D:$D,0)),0)</f>
        <v>576293</v>
      </c>
      <c r="AE15" s="88">
        <f>IFERROR(INDEX('Raw Data Input'!$P:$P,MATCH($E15,'Raw Data Input'!$D:$D,0)),0)</f>
        <v>202856</v>
      </c>
      <c r="AF15" s="88">
        <f>IFERROR(INDEX('Raw Data Input'!$Q:$Q,MATCH($E15,'Raw Data Input'!$D:$D,0)),0)</f>
        <v>2213142</v>
      </c>
      <c r="AG15" s="88">
        <f>IFERROR(INDEX('Raw Data Input'!$R:$R,MATCH($E15,'Raw Data Input'!$D:$D,0)),0)</f>
        <v>0</v>
      </c>
      <c r="AH15" s="88">
        <f>IFERROR(INDEX('Raw Data Input'!$S:$S,MATCH($E15,'Raw Data Input'!$D:$D,0)),0)</f>
        <v>4759677</v>
      </c>
      <c r="AI15" s="88">
        <f>IFERROR(INDEX('Raw Data Input'!$T:$T,MATCH($E15,'Raw Data Input'!$D:$D,0)),0)</f>
        <v>580184</v>
      </c>
    </row>
    <row r="16" spans="1:35" ht="15" customHeight="1" x14ac:dyDescent="0.3">
      <c r="A16" s="27" t="s">
        <v>19</v>
      </c>
      <c r="B16" s="27" t="s">
        <v>20</v>
      </c>
      <c r="C16" s="28">
        <v>2020</v>
      </c>
      <c r="D16" s="29" t="str">
        <f t="shared" si="0"/>
        <v>CLYD-2020</v>
      </c>
      <c r="E16" s="29" t="str">
        <f t="shared" si="1"/>
        <v>CLYD-2019</v>
      </c>
      <c r="F16" s="30">
        <f>IFERROR(INDEX('Raw Data Input'!$F:$F,MATCH($D16,'Raw Data Input'!$D:$D,0)),0)</f>
        <v>4039375</v>
      </c>
      <c r="G16" s="30">
        <f>IFERROR(INDEX('Raw Data Input'!$G:$G,MATCH($D16,'Raw Data Input'!$D:$D,0)),0)</f>
        <v>-2358952</v>
      </c>
      <c r="H16" s="30">
        <f>IFERROR(INDEX('Raw Data Input'!$H:$H,MATCH($D16,'Raw Data Input'!$D:$D,0)),0)</f>
        <v>1990637</v>
      </c>
      <c r="I16" s="30">
        <f>IFERROR(INDEX('Raw Data Input'!$I:$I,MATCH($D16,'Raw Data Input'!$D:$D,0)),0)</f>
        <v>3080302</v>
      </c>
      <c r="J16" s="30">
        <f>IFERROR(INDEX('Raw Data Input'!$J:$J,MATCH($D16,'Raw Data Input'!$D:$D,0)),0)</f>
        <v>162051</v>
      </c>
      <c r="K16" s="30">
        <f>IFERROR(INDEX('Raw Data Input'!$K:$K,MATCH($D16,'Raw Data Input'!$D:$D,0)),0)</f>
        <v>24536</v>
      </c>
      <c r="L16" s="30">
        <f>IFERROR(INDEX('Raw Data Input'!$L:$L,MATCH($D16,'Raw Data Input'!$D:$D,0)),0)</f>
        <v>6592549</v>
      </c>
      <c r="M16" s="30">
        <f>IFERROR(INDEX('Raw Data Input'!$M:$M,MATCH($D16,'Raw Data Input'!$D:$D,0)),0)</f>
        <v>1107547</v>
      </c>
      <c r="N16" s="30">
        <f>IFERROR(INDEX('Raw Data Input'!$N:$N,MATCH($D16,'Raw Data Input'!$D:$D,0)),0)</f>
        <v>86948</v>
      </c>
      <c r="O16" s="30">
        <f>IFERROR(INDEX('Raw Data Input'!$O:$O,MATCH($D16,'Raw Data Input'!$D:$D,0)),0)</f>
        <v>72139</v>
      </c>
      <c r="P16" s="30">
        <f>IFERROR(INDEX('Raw Data Input'!$P:$P,MATCH($D16,'Raw Data Input'!$D:$D,0)),0)</f>
        <v>215325</v>
      </c>
      <c r="Q16" s="30">
        <f>IFERROR(INDEX('Raw Data Input'!$Q:$Q,MATCH($D16,'Raw Data Input'!$D:$D,0)),0)</f>
        <v>4759677</v>
      </c>
      <c r="R16" s="30">
        <f>IFERROR(INDEX('Raw Data Input'!$R:$R,MATCH($D16,'Raw Data Input'!$D:$D,0)),0)</f>
        <v>0</v>
      </c>
      <c r="S16" s="30">
        <f>IFERROR(INDEX('Raw Data Input'!$S:$S,MATCH($D16,'Raw Data Input'!$D:$D,0)),0)</f>
        <v>3450920</v>
      </c>
      <c r="T16" s="30">
        <f>IFERROR(INDEX('Raw Data Input'!$T:$T,MATCH($D16,'Raw Data Input'!$D:$D,0)),0)</f>
        <v>3141629</v>
      </c>
      <c r="U16" s="30">
        <f>IFERROR(INDEX('Raw Data Input'!$F:$F,MATCH($E16,'Raw Data Input'!$D:$D,0)),0)</f>
        <v>7244821</v>
      </c>
      <c r="V16" s="30">
        <f>IFERROR(INDEX('Raw Data Input'!$G:$G,MATCH($E16,'Raw Data Input'!$D:$D,0)),0)</f>
        <v>-5322352</v>
      </c>
      <c r="W16" s="30">
        <f>IFERROR(INDEX('Raw Data Input'!$H:$H,MATCH($E16,'Raw Data Input'!$D:$D,0)),0)</f>
        <v>2083907</v>
      </c>
      <c r="X16" s="30">
        <f>IFERROR(INDEX('Raw Data Input'!$I:$I,MATCH($E16,'Raw Data Input'!$D:$D,0)),0)</f>
        <v>3935378</v>
      </c>
      <c r="Y16" s="30">
        <f>IFERROR(INDEX('Raw Data Input'!$J:$J,MATCH($E16,'Raw Data Input'!$D:$D,0)),0)</f>
        <v>235519</v>
      </c>
      <c r="Z16" s="30">
        <f>IFERROR(INDEX('Raw Data Input'!$K:$K,MATCH($E16,'Raw Data Input'!$D:$D,0)),0)</f>
        <v>0</v>
      </c>
      <c r="AA16" s="30">
        <f>IFERROR(INDEX('Raw Data Input'!$L:$L,MATCH($E16,'Raw Data Input'!$D:$D,0)),0)</f>
        <v>5441358</v>
      </c>
      <c r="AB16" s="30">
        <f>IFERROR(INDEX('Raw Data Input'!$M:$M,MATCH($E16,'Raw Data Input'!$D:$D,0)),0)</f>
        <v>1187033</v>
      </c>
      <c r="AC16" s="30">
        <f>IFERROR(INDEX('Raw Data Input'!$N:$N,MATCH($E16,'Raw Data Input'!$D:$D,0)),0)</f>
        <v>90072</v>
      </c>
      <c r="AD16" s="30">
        <f>IFERROR(INDEX('Raw Data Input'!$O:$O,MATCH($E16,'Raw Data Input'!$D:$D,0)),0)</f>
        <v>224284</v>
      </c>
      <c r="AE16" s="30">
        <f>IFERROR(INDEX('Raw Data Input'!$P:$P,MATCH($E16,'Raw Data Input'!$D:$D,0)),0)</f>
        <v>448938</v>
      </c>
      <c r="AF16" s="30">
        <f>IFERROR(INDEX('Raw Data Input'!$Q:$Q,MATCH($E16,'Raw Data Input'!$D:$D,0)),0)</f>
        <v>3174611</v>
      </c>
      <c r="AG16" s="30">
        <f>IFERROR(INDEX('Raw Data Input'!$R:$R,MATCH($E16,'Raw Data Input'!$D:$D,0)),0)</f>
        <v>0</v>
      </c>
      <c r="AH16" s="30">
        <f>IFERROR(INDEX('Raw Data Input'!$S:$S,MATCH($E16,'Raw Data Input'!$D:$D,0)),0)</f>
        <v>4395995</v>
      </c>
      <c r="AI16" s="30">
        <f>IFERROR(INDEX('Raw Data Input'!$T:$T,MATCH($E16,'Raw Data Input'!$D:$D,0)),0)</f>
        <v>1045363</v>
      </c>
    </row>
    <row r="17" spans="1:35" ht="15" customHeight="1" x14ac:dyDescent="0.3">
      <c r="A17" s="27" t="s">
        <v>19</v>
      </c>
      <c r="B17" s="27" t="s">
        <v>20</v>
      </c>
      <c r="C17" s="28">
        <v>2021</v>
      </c>
      <c r="D17" s="29" t="str">
        <f t="shared" si="0"/>
        <v>CLYD-2021</v>
      </c>
      <c r="E17" s="29" t="str">
        <f t="shared" si="1"/>
        <v>CLYD-2020</v>
      </c>
      <c r="F17" s="30">
        <f>IFERROR(INDEX('Raw Data Input'!$F:$F,MATCH($D17,'Raw Data Input'!$D:$D,0)),0)</f>
        <v>2496111</v>
      </c>
      <c r="G17" s="30">
        <f>IFERROR(INDEX('Raw Data Input'!$G:$G,MATCH($D17,'Raw Data Input'!$D:$D,0)),0)</f>
        <v>-1456770</v>
      </c>
      <c r="H17" s="30">
        <f>IFERROR(INDEX('Raw Data Input'!$H:$H,MATCH($D17,'Raw Data Input'!$D:$D,0)),0)</f>
        <v>1464738</v>
      </c>
      <c r="I17" s="30">
        <f>IFERROR(INDEX('Raw Data Input'!$I:$I,MATCH($D17,'Raw Data Input'!$D:$D,0)),0)</f>
        <v>2706870</v>
      </c>
      <c r="J17" s="30">
        <f>IFERROR(INDEX('Raw Data Input'!$J:$J,MATCH($D17,'Raw Data Input'!$D:$D,0)),0)</f>
        <v>85875</v>
      </c>
      <c r="K17" s="30">
        <f>IFERROR(INDEX('Raw Data Input'!$K:$K,MATCH($D17,'Raw Data Input'!$D:$D,0)),0)</f>
        <v>-3100</v>
      </c>
      <c r="L17" s="30">
        <f>IFERROR(INDEX('Raw Data Input'!$L:$L,MATCH($D17,'Raw Data Input'!$D:$D,0)),0)</f>
        <v>6213658</v>
      </c>
      <c r="M17" s="30">
        <f>IFERROR(INDEX('Raw Data Input'!$M:$M,MATCH($D17,'Raw Data Input'!$D:$D,0)),0)</f>
        <v>853015</v>
      </c>
      <c r="N17" s="30">
        <f>IFERROR(INDEX('Raw Data Input'!$N:$N,MATCH($D17,'Raw Data Input'!$D:$D,0)),0)</f>
        <v>80160</v>
      </c>
      <c r="O17" s="30">
        <f>IFERROR(INDEX('Raw Data Input'!$O:$O,MATCH($D17,'Raw Data Input'!$D:$D,0)),0)</f>
        <v>-424863</v>
      </c>
      <c r="P17" s="30">
        <f>IFERROR(INDEX('Raw Data Input'!$P:$P,MATCH($D17,'Raw Data Input'!$D:$D,0)),0)</f>
        <v>-308177</v>
      </c>
      <c r="Q17" s="30">
        <f>IFERROR(INDEX('Raw Data Input'!$Q:$Q,MATCH($D17,'Raw Data Input'!$D:$D,0)),0)</f>
        <v>4758528</v>
      </c>
      <c r="R17" s="30">
        <f>IFERROR(INDEX('Raw Data Input'!$R:$R,MATCH($D17,'Raw Data Input'!$D:$D,0)),0)</f>
        <v>0</v>
      </c>
      <c r="S17" s="30">
        <f>IFERROR(INDEX('Raw Data Input'!$S:$S,MATCH($D17,'Raw Data Input'!$D:$D,0)),0)</f>
        <v>3525033</v>
      </c>
      <c r="T17" s="30">
        <f>IFERROR(INDEX('Raw Data Input'!$T:$T,MATCH($D17,'Raw Data Input'!$D:$D,0)),0)</f>
        <v>2886839</v>
      </c>
      <c r="U17" s="30">
        <f>IFERROR(INDEX('Raw Data Input'!$F:$F,MATCH($E17,'Raw Data Input'!$D:$D,0)),0)</f>
        <v>4039375</v>
      </c>
      <c r="V17" s="30">
        <f>IFERROR(INDEX('Raw Data Input'!$G:$G,MATCH($E17,'Raw Data Input'!$D:$D,0)),0)</f>
        <v>-2358952</v>
      </c>
      <c r="W17" s="30">
        <f>IFERROR(INDEX('Raw Data Input'!$H:$H,MATCH($E17,'Raw Data Input'!$D:$D,0)),0)</f>
        <v>1990637</v>
      </c>
      <c r="X17" s="30">
        <f>IFERROR(INDEX('Raw Data Input'!$I:$I,MATCH($E17,'Raw Data Input'!$D:$D,0)),0)</f>
        <v>3080302</v>
      </c>
      <c r="Y17" s="30">
        <f>IFERROR(INDEX('Raw Data Input'!$J:$J,MATCH($E17,'Raw Data Input'!$D:$D,0)),0)</f>
        <v>162051</v>
      </c>
      <c r="Z17" s="30">
        <f>IFERROR(INDEX('Raw Data Input'!$K:$K,MATCH($E17,'Raw Data Input'!$D:$D,0)),0)</f>
        <v>24536</v>
      </c>
      <c r="AA17" s="30">
        <f>IFERROR(INDEX('Raw Data Input'!$L:$L,MATCH($E17,'Raw Data Input'!$D:$D,0)),0)</f>
        <v>6592549</v>
      </c>
      <c r="AB17" s="30">
        <f>IFERROR(INDEX('Raw Data Input'!$M:$M,MATCH($E17,'Raw Data Input'!$D:$D,0)),0)</f>
        <v>1107547</v>
      </c>
      <c r="AC17" s="30">
        <f>IFERROR(INDEX('Raw Data Input'!$N:$N,MATCH($E17,'Raw Data Input'!$D:$D,0)),0)</f>
        <v>86948</v>
      </c>
      <c r="AD17" s="30">
        <f>IFERROR(INDEX('Raw Data Input'!$O:$O,MATCH($E17,'Raw Data Input'!$D:$D,0)),0)</f>
        <v>72139</v>
      </c>
      <c r="AE17" s="30">
        <f>IFERROR(INDEX('Raw Data Input'!$P:$P,MATCH($E17,'Raw Data Input'!$D:$D,0)),0)</f>
        <v>215325</v>
      </c>
      <c r="AF17" s="30">
        <f>IFERROR(INDEX('Raw Data Input'!$Q:$Q,MATCH($E17,'Raw Data Input'!$D:$D,0)),0)</f>
        <v>4759677</v>
      </c>
      <c r="AG17" s="30">
        <f>IFERROR(INDEX('Raw Data Input'!$R:$R,MATCH($E17,'Raw Data Input'!$D:$D,0)),0)</f>
        <v>0</v>
      </c>
      <c r="AH17" s="30">
        <f>IFERROR(INDEX('Raw Data Input'!$S:$S,MATCH($E17,'Raw Data Input'!$D:$D,0)),0)</f>
        <v>3450920</v>
      </c>
      <c r="AI17" s="30">
        <f>IFERROR(INDEX('Raw Data Input'!$T:$T,MATCH($E17,'Raw Data Input'!$D:$D,0)),0)</f>
        <v>3141629</v>
      </c>
    </row>
    <row r="18" spans="1:35" ht="15" customHeight="1" x14ac:dyDescent="0.3">
      <c r="A18" s="27" t="s">
        <v>19</v>
      </c>
      <c r="B18" s="27" t="s">
        <v>20</v>
      </c>
      <c r="C18" s="28">
        <v>2022</v>
      </c>
      <c r="D18" s="29" t="str">
        <f t="shared" si="0"/>
        <v>CLYD-2022</v>
      </c>
      <c r="E18" s="29" t="str">
        <f t="shared" si="1"/>
        <v>CLYD-2021</v>
      </c>
      <c r="F18" s="30">
        <f>IFERROR(INDEX('Raw Data Input'!$F:$F,MATCH($D18,'Raw Data Input'!$D:$D,0)),0)</f>
        <v>8037300.96</v>
      </c>
      <c r="G18" s="30">
        <f>IFERROR(INDEX('Raw Data Input'!$G:$G,MATCH($D18,'Raw Data Input'!$D:$D,0)),0)</f>
        <v>-5207385.1900000004</v>
      </c>
      <c r="H18" s="30">
        <f>IFERROR(INDEX('Raw Data Input'!$H:$H,MATCH($D18,'Raw Data Input'!$D:$D,0)),0)</f>
        <v>4049439.08</v>
      </c>
      <c r="I18" s="30">
        <f>IFERROR(INDEX('Raw Data Input'!$I:$I,MATCH($D18,'Raw Data Input'!$D:$D,0)),0)</f>
        <v>6772740.699</v>
      </c>
      <c r="J18" s="30">
        <f>IFERROR(INDEX('Raw Data Input'!$J:$J,MATCH($D18,'Raw Data Input'!$D:$D,0)),0)</f>
        <v>654920.21400000004</v>
      </c>
      <c r="K18" s="30">
        <f>IFERROR(INDEX('Raw Data Input'!$K:$K,MATCH($D18,'Raw Data Input'!$D:$D,0)),0)</f>
        <v>0</v>
      </c>
      <c r="L18" s="30">
        <f>IFERROR(INDEX('Raw Data Input'!$L:$L,MATCH($D18,'Raw Data Input'!$D:$D,0)),0)</f>
        <v>10905418.302999999</v>
      </c>
      <c r="M18" s="30">
        <f>IFERROR(INDEX('Raw Data Input'!$M:$M,MATCH($D18,'Raw Data Input'!$D:$D,0)),0)</f>
        <v>2110896.75</v>
      </c>
      <c r="N18" s="30">
        <f>IFERROR(INDEX('Raw Data Input'!$N:$N,MATCH($D18,'Raw Data Input'!$D:$D,0)),0)</f>
        <v>24164.31</v>
      </c>
      <c r="O18" s="30">
        <f>IFERROR(INDEX('Raw Data Input'!$O:$O,MATCH($D18,'Raw Data Input'!$D:$D,0)),0)</f>
        <v>571109.99199999997</v>
      </c>
      <c r="P18" s="30">
        <f>IFERROR(INDEX('Raw Data Input'!$P:$P,MATCH($D18,'Raw Data Input'!$D:$D,0)),0)</f>
        <v>242792.83</v>
      </c>
      <c r="Q18" s="30">
        <f>IFERROR(INDEX('Raw Data Input'!$Q:$Q,MATCH($D18,'Raw Data Input'!$D:$D,0)),0)</f>
        <v>6487756.1880000001</v>
      </c>
      <c r="R18" s="30">
        <f>IFERROR(INDEX('Raw Data Input'!$R:$R,MATCH($D18,'Raw Data Input'!$D:$D,0)),0)</f>
        <v>555555.57999999996</v>
      </c>
      <c r="S18" s="30">
        <f>IFERROR(INDEX('Raw Data Input'!$S:$S,MATCH($D18,'Raw Data Input'!$D:$D,0)),0)</f>
        <v>7043311.7680000002</v>
      </c>
      <c r="T18" s="30">
        <f>IFERROR(INDEX('Raw Data Input'!$T:$T,MATCH($D18,'Raw Data Input'!$D:$D,0)),0)</f>
        <v>3862106.068</v>
      </c>
      <c r="U18" s="30">
        <f>IFERROR(INDEX('Raw Data Input'!$F:$F,MATCH($E18,'Raw Data Input'!$D:$D,0)),0)</f>
        <v>2496111</v>
      </c>
      <c r="V18" s="30">
        <f>IFERROR(INDEX('Raw Data Input'!$G:$G,MATCH($E18,'Raw Data Input'!$D:$D,0)),0)</f>
        <v>-1456770</v>
      </c>
      <c r="W18" s="30">
        <f>IFERROR(INDEX('Raw Data Input'!$H:$H,MATCH($E18,'Raw Data Input'!$D:$D,0)),0)</f>
        <v>1464738</v>
      </c>
      <c r="X18" s="30">
        <f>IFERROR(INDEX('Raw Data Input'!$I:$I,MATCH($E18,'Raw Data Input'!$D:$D,0)),0)</f>
        <v>2706870</v>
      </c>
      <c r="Y18" s="30">
        <f>IFERROR(INDEX('Raw Data Input'!$J:$J,MATCH($E18,'Raw Data Input'!$D:$D,0)),0)</f>
        <v>85875</v>
      </c>
      <c r="Z18" s="30">
        <f>IFERROR(INDEX('Raw Data Input'!$K:$K,MATCH($E18,'Raw Data Input'!$D:$D,0)),0)</f>
        <v>-3100</v>
      </c>
      <c r="AA18" s="30">
        <f>IFERROR(INDEX('Raw Data Input'!$L:$L,MATCH($E18,'Raw Data Input'!$D:$D,0)),0)</f>
        <v>6213658</v>
      </c>
      <c r="AB18" s="30">
        <f>IFERROR(INDEX('Raw Data Input'!$M:$M,MATCH($E18,'Raw Data Input'!$D:$D,0)),0)</f>
        <v>853015</v>
      </c>
      <c r="AC18" s="30">
        <f>IFERROR(INDEX('Raw Data Input'!$N:$N,MATCH($E18,'Raw Data Input'!$D:$D,0)),0)</f>
        <v>80160</v>
      </c>
      <c r="AD18" s="30">
        <f>IFERROR(INDEX('Raw Data Input'!$O:$O,MATCH($E18,'Raw Data Input'!$D:$D,0)),0)</f>
        <v>-424863</v>
      </c>
      <c r="AE18" s="30">
        <f>IFERROR(INDEX('Raw Data Input'!$P:$P,MATCH($E18,'Raw Data Input'!$D:$D,0)),0)</f>
        <v>-308177</v>
      </c>
      <c r="AF18" s="30">
        <f>IFERROR(INDEX('Raw Data Input'!$Q:$Q,MATCH($E18,'Raw Data Input'!$D:$D,0)),0)</f>
        <v>4758528</v>
      </c>
      <c r="AG18" s="30">
        <f>IFERROR(INDEX('Raw Data Input'!$R:$R,MATCH($E18,'Raw Data Input'!$D:$D,0)),0)</f>
        <v>0</v>
      </c>
      <c r="AH18" s="30">
        <f>IFERROR(INDEX('Raw Data Input'!$S:$S,MATCH($E18,'Raw Data Input'!$D:$D,0)),0)</f>
        <v>3525033</v>
      </c>
      <c r="AI18" s="30">
        <f>IFERROR(INDEX('Raw Data Input'!$T:$T,MATCH($E18,'Raw Data Input'!$D:$D,0)),0)</f>
        <v>2886839</v>
      </c>
    </row>
    <row r="19" spans="1:35" ht="15" customHeight="1" thickBot="1" x14ac:dyDescent="0.35">
      <c r="A19" s="70" t="s">
        <v>19</v>
      </c>
      <c r="B19" s="70" t="s">
        <v>20</v>
      </c>
      <c r="C19" s="71">
        <v>2023</v>
      </c>
      <c r="D19" s="72" t="str">
        <f t="shared" si="0"/>
        <v>CLYD-2023</v>
      </c>
      <c r="E19" s="72" t="str">
        <f t="shared" si="1"/>
        <v>CLYD-2022</v>
      </c>
      <c r="F19" s="73">
        <f>IFERROR(INDEX('Raw Data Input'!$F:$F,MATCH($D19,'Raw Data Input'!$D:$D,0)),0)</f>
        <v>7336525.4699999997</v>
      </c>
      <c r="G19" s="73">
        <f>IFERROR(INDEX('Raw Data Input'!$G:$G,MATCH($D19,'Raw Data Input'!$D:$D,0)),0)</f>
        <v>-3665826.8</v>
      </c>
      <c r="H19" s="73">
        <f>IFERROR(INDEX('Raw Data Input'!$H:$H,MATCH($D19,'Raw Data Input'!$D:$D,0)),0)</f>
        <v>2802250.31</v>
      </c>
      <c r="I19" s="73">
        <f>IFERROR(INDEX('Raw Data Input'!$I:$I,MATCH($D19,'Raw Data Input'!$D:$D,0)),0)</f>
        <v>5619732.8660000004</v>
      </c>
      <c r="J19" s="73">
        <f>IFERROR(INDEX('Raw Data Input'!$J:$J,MATCH($D19,'Raw Data Input'!$D:$D,0)),0)</f>
        <v>632662.53399999999</v>
      </c>
      <c r="K19" s="73">
        <f>IFERROR(INDEX('Raw Data Input'!$K:$K,MATCH($D19,'Raw Data Input'!$D:$D,0)),0)</f>
        <v>0</v>
      </c>
      <c r="L19" s="73">
        <f>IFERROR(INDEX('Raw Data Input'!$L:$L,MATCH($D19,'Raw Data Input'!$D:$D,0)),0)</f>
        <v>9820242.1500000004</v>
      </c>
      <c r="M19" s="73">
        <f>IFERROR(INDEX('Raw Data Input'!$M:$M,MATCH($D19,'Raw Data Input'!$D:$D,0)),0)</f>
        <v>2541494.31</v>
      </c>
      <c r="N19" s="73">
        <f>IFERROR(INDEX('Raw Data Input'!$N:$N,MATCH($D19,'Raw Data Input'!$D:$D,0)),0)</f>
        <v>46971.360000000001</v>
      </c>
      <c r="O19" s="73">
        <f>IFERROR(INDEX('Raw Data Input'!$O:$O,MATCH($D19,'Raw Data Input'!$D:$D,0)),0)</f>
        <v>134251.03400000001</v>
      </c>
      <c r="P19" s="73">
        <f>IFERROR(INDEX('Raw Data Input'!$P:$P,MATCH($D19,'Raw Data Input'!$D:$D,0)),0)</f>
        <v>-1388099.9720000001</v>
      </c>
      <c r="Q19" s="73">
        <f>IFERROR(INDEX('Raw Data Input'!$Q:$Q,MATCH($D19,'Raw Data Input'!$D:$D,0)),0)</f>
        <v>4953866.568</v>
      </c>
      <c r="R19" s="73">
        <f>IFERROR(INDEX('Raw Data Input'!$R:$R,MATCH($D19,'Raw Data Input'!$D:$D,0)),0)</f>
        <v>870018.8</v>
      </c>
      <c r="S19" s="73">
        <f>IFERROR(INDEX('Raw Data Input'!$S:$S,MATCH($D19,'Raw Data Input'!$D:$D,0)),0)</f>
        <v>5823885.3679999998</v>
      </c>
      <c r="T19" s="73">
        <f>IFERROR(INDEX('Raw Data Input'!$T:$T,MATCH($D19,'Raw Data Input'!$D:$D,0)),0)</f>
        <v>3996357.102</v>
      </c>
      <c r="U19" s="73">
        <f>IFERROR(INDEX('Raw Data Input'!$F:$F,MATCH($E19,'Raw Data Input'!$D:$D,0)),0)</f>
        <v>8037300.96</v>
      </c>
      <c r="V19" s="73">
        <f>IFERROR(INDEX('Raw Data Input'!$G:$G,MATCH($E19,'Raw Data Input'!$D:$D,0)),0)</f>
        <v>-5207385.1900000004</v>
      </c>
      <c r="W19" s="73">
        <f>IFERROR(INDEX('Raw Data Input'!$H:$H,MATCH($E19,'Raw Data Input'!$D:$D,0)),0)</f>
        <v>4049439.08</v>
      </c>
      <c r="X19" s="73">
        <f>IFERROR(INDEX('Raw Data Input'!$I:$I,MATCH($E19,'Raw Data Input'!$D:$D,0)),0)</f>
        <v>6772740.699</v>
      </c>
      <c r="Y19" s="73">
        <f>IFERROR(INDEX('Raw Data Input'!$J:$J,MATCH($E19,'Raw Data Input'!$D:$D,0)),0)</f>
        <v>654920.21400000004</v>
      </c>
      <c r="Z19" s="73">
        <f>IFERROR(INDEX('Raw Data Input'!$K:$K,MATCH($E19,'Raw Data Input'!$D:$D,0)),0)</f>
        <v>0</v>
      </c>
      <c r="AA19" s="73">
        <f>IFERROR(INDEX('Raw Data Input'!$L:$L,MATCH($E19,'Raw Data Input'!$D:$D,0)),0)</f>
        <v>10905418.302999999</v>
      </c>
      <c r="AB19" s="73">
        <f>IFERROR(INDEX('Raw Data Input'!$M:$M,MATCH($E19,'Raw Data Input'!$D:$D,0)),0)</f>
        <v>2110896.75</v>
      </c>
      <c r="AC19" s="73">
        <f>IFERROR(INDEX('Raw Data Input'!$N:$N,MATCH($E19,'Raw Data Input'!$D:$D,0)),0)</f>
        <v>24164.31</v>
      </c>
      <c r="AD19" s="73">
        <f>IFERROR(INDEX('Raw Data Input'!$O:$O,MATCH($E19,'Raw Data Input'!$D:$D,0)),0)</f>
        <v>571109.99199999997</v>
      </c>
      <c r="AE19" s="73">
        <f>IFERROR(INDEX('Raw Data Input'!$P:$P,MATCH($E19,'Raw Data Input'!$D:$D,0)),0)</f>
        <v>242792.83</v>
      </c>
      <c r="AF19" s="73">
        <f>IFERROR(INDEX('Raw Data Input'!$Q:$Q,MATCH($E19,'Raw Data Input'!$D:$D,0)),0)</f>
        <v>6487756.1880000001</v>
      </c>
      <c r="AG19" s="73">
        <f>IFERROR(INDEX('Raw Data Input'!$R:$R,MATCH($E19,'Raw Data Input'!$D:$D,0)),0)</f>
        <v>555555.57999999996</v>
      </c>
      <c r="AH19" s="73">
        <f>IFERROR(INDEX('Raw Data Input'!$S:$S,MATCH($E19,'Raw Data Input'!$D:$D,0)),0)</f>
        <v>7043311.7680000002</v>
      </c>
      <c r="AI19" s="73">
        <f>IFERROR(INDEX('Raw Data Input'!$T:$T,MATCH($E19,'Raw Data Input'!$D:$D,0)),0)</f>
        <v>3862106.068</v>
      </c>
    </row>
    <row r="20" spans="1:35" ht="15" customHeight="1" x14ac:dyDescent="0.3">
      <c r="A20" s="77" t="s">
        <v>22</v>
      </c>
      <c r="B20" s="77" t="s">
        <v>23</v>
      </c>
      <c r="C20" s="78">
        <v>2019</v>
      </c>
      <c r="D20" s="79" t="str">
        <f t="shared" si="0"/>
        <v>CMLT-2019</v>
      </c>
      <c r="E20" s="79" t="str">
        <f t="shared" si="1"/>
        <v>CMLT-2018</v>
      </c>
      <c r="F20" s="80">
        <f>IFERROR(INDEX('Raw Data Input'!$F:$F,MATCH($D20,'Raw Data Input'!$D:$D,0)),0)</f>
        <v>6184754</v>
      </c>
      <c r="G20" s="80">
        <f>IFERROR(INDEX('Raw Data Input'!$G:$G,MATCH($D20,'Raw Data Input'!$D:$D,0)),0)</f>
        <v>-3441339</v>
      </c>
      <c r="H20" s="80">
        <f>IFERROR(INDEX('Raw Data Input'!$H:$H,MATCH($D20,'Raw Data Input'!$D:$D,0)),0)</f>
        <v>807528</v>
      </c>
      <c r="I20" s="80">
        <f>IFERROR(INDEX('Raw Data Input'!$I:$I,MATCH($D20,'Raw Data Input'!$D:$D,0)),0)</f>
        <v>3749173</v>
      </c>
      <c r="J20" s="80">
        <f>IFERROR(INDEX('Raw Data Input'!$J:$J,MATCH($D20,'Raw Data Input'!$D:$D,0)),0)</f>
        <v>5104512</v>
      </c>
      <c r="K20" s="80">
        <f>IFERROR(INDEX('Raw Data Input'!$K:$K,MATCH($D20,'Raw Data Input'!$D:$D,0)),0)</f>
        <v>183717</v>
      </c>
      <c r="L20" s="80">
        <f>IFERROR(INDEX('Raw Data Input'!$L:$L,MATCH($D20,'Raw Data Input'!$D:$D,0)),0)</f>
        <v>9107313</v>
      </c>
      <c r="M20" s="80">
        <f>IFERROR(INDEX('Raw Data Input'!$M:$M,MATCH($D20,'Raw Data Input'!$D:$D,0)),0)</f>
        <v>-2648987</v>
      </c>
      <c r="N20" s="80">
        <f>IFERROR(INDEX('Raw Data Input'!$N:$N,MATCH($D20,'Raw Data Input'!$D:$D,0)),0)</f>
        <v>92879</v>
      </c>
      <c r="O20" s="80">
        <f>IFERROR(INDEX('Raw Data Input'!$O:$O,MATCH($D20,'Raw Data Input'!$D:$D,0)),0)</f>
        <v>169688</v>
      </c>
      <c r="P20" s="80">
        <f>IFERROR(INDEX('Raw Data Input'!$P:$P,MATCH($D20,'Raw Data Input'!$D:$D,0)),0)</f>
        <v>79747</v>
      </c>
      <c r="Q20" s="80">
        <f>IFERROR(INDEX('Raw Data Input'!$Q:$Q,MATCH($D20,'Raw Data Input'!$D:$D,0)),0)</f>
        <v>4164802</v>
      </c>
      <c r="R20" s="80">
        <f>IFERROR(INDEX('Raw Data Input'!$R:$R,MATCH($D20,'Raw Data Input'!$D:$D,0)),0)</f>
        <v>2800223</v>
      </c>
      <c r="S20" s="80">
        <f>IFERROR(INDEX('Raw Data Input'!$S:$S,MATCH($D20,'Raw Data Input'!$D:$D,0)),0)</f>
        <v>7195961</v>
      </c>
      <c r="T20" s="80">
        <f>IFERROR(INDEX('Raw Data Input'!$T:$T,MATCH($D20,'Raw Data Input'!$D:$D,0)),0)</f>
        <v>1911352</v>
      </c>
      <c r="U20" s="80">
        <f>IFERROR(INDEX('Raw Data Input'!$F:$F,MATCH($E20,'Raw Data Input'!$D:$D,0)),0)</f>
        <v>6464871</v>
      </c>
      <c r="V20" s="80">
        <f>IFERROR(INDEX('Raw Data Input'!$G:$G,MATCH($E20,'Raw Data Input'!$D:$D,0)),0)</f>
        <v>-3839122</v>
      </c>
      <c r="W20" s="80">
        <f>IFERROR(INDEX('Raw Data Input'!$H:$H,MATCH($E20,'Raw Data Input'!$D:$D,0)),0)</f>
        <v>341521</v>
      </c>
      <c r="X20" s="80">
        <f>IFERROR(INDEX('Raw Data Input'!$I:$I,MATCH($E20,'Raw Data Input'!$D:$D,0)),0)</f>
        <v>3053594</v>
      </c>
      <c r="Y20" s="80">
        <f>IFERROR(INDEX('Raw Data Input'!$J:$J,MATCH($E20,'Raw Data Input'!$D:$D,0)),0)</f>
        <v>1857659</v>
      </c>
      <c r="Z20" s="80">
        <f>IFERROR(INDEX('Raw Data Input'!$K:$K,MATCH($E20,'Raw Data Input'!$D:$D,0)),0)</f>
        <v>183717</v>
      </c>
      <c r="AA20" s="80">
        <f>IFERROR(INDEX('Raw Data Input'!$L:$L,MATCH($E20,'Raw Data Input'!$D:$D,0)),0)</f>
        <v>5171788</v>
      </c>
      <c r="AB20" s="80">
        <f>IFERROR(INDEX('Raw Data Input'!$M:$M,MATCH($E20,'Raw Data Input'!$D:$D,0)),0)</f>
        <v>-2495181</v>
      </c>
      <c r="AC20" s="80">
        <f>IFERROR(INDEX('Raw Data Input'!$N:$N,MATCH($E20,'Raw Data Input'!$D:$D,0)),0)</f>
        <v>98798</v>
      </c>
      <c r="AD20" s="80">
        <f>IFERROR(INDEX('Raw Data Input'!$O:$O,MATCH($E20,'Raw Data Input'!$D:$D,0)),0)</f>
        <v>30802</v>
      </c>
      <c r="AE20" s="80">
        <f>IFERROR(INDEX('Raw Data Input'!$P:$P,MATCH($E20,'Raw Data Input'!$D:$D,0)),0)</f>
        <v>500038</v>
      </c>
      <c r="AF20" s="80">
        <f>IFERROR(INDEX('Raw Data Input'!$Q:$Q,MATCH($E20,'Raw Data Input'!$D:$D,0)),0)</f>
        <v>2871360</v>
      </c>
      <c r="AG20" s="80">
        <f>IFERROR(INDEX('Raw Data Input'!$R:$R,MATCH($E20,'Raw Data Input'!$D:$D,0)),0)</f>
        <v>0</v>
      </c>
      <c r="AH20" s="80">
        <f>IFERROR(INDEX('Raw Data Input'!$S:$S,MATCH($E20,'Raw Data Input'!$D:$D,0)),0)</f>
        <v>3180164</v>
      </c>
      <c r="AI20" s="80">
        <f>IFERROR(INDEX('Raw Data Input'!$T:$T,MATCH($E20,'Raw Data Input'!$D:$D,0)),0)</f>
        <v>1991624</v>
      </c>
    </row>
    <row r="21" spans="1:35" ht="15" customHeight="1" x14ac:dyDescent="0.3">
      <c r="A21" s="27" t="s">
        <v>22</v>
      </c>
      <c r="B21" s="27" t="s">
        <v>23</v>
      </c>
      <c r="C21" s="28">
        <v>2020</v>
      </c>
      <c r="D21" s="29" t="str">
        <f t="shared" si="0"/>
        <v>CMLT-2020</v>
      </c>
      <c r="E21" s="29" t="str">
        <f t="shared" si="1"/>
        <v>CMLT-2019</v>
      </c>
      <c r="F21" s="30">
        <f>IFERROR(INDEX('Raw Data Input'!$F:$F,MATCH($D21,'Raw Data Input'!$D:$D,0)),0)</f>
        <v>7315927</v>
      </c>
      <c r="G21" s="30">
        <f>IFERROR(INDEX('Raw Data Input'!$G:$G,MATCH($D21,'Raw Data Input'!$D:$D,0)),0)</f>
        <v>-4322986</v>
      </c>
      <c r="H21" s="30">
        <f>IFERROR(INDEX('Raw Data Input'!$H:$H,MATCH($D21,'Raw Data Input'!$D:$D,0)),0)</f>
        <v>276701</v>
      </c>
      <c r="I21" s="30">
        <f>IFERROR(INDEX('Raw Data Input'!$I:$I,MATCH($D21,'Raw Data Input'!$D:$D,0)),0)</f>
        <v>4933650</v>
      </c>
      <c r="J21" s="30">
        <f>IFERROR(INDEX('Raw Data Input'!$J:$J,MATCH($D21,'Raw Data Input'!$D:$D,0)),0)</f>
        <v>9226701</v>
      </c>
      <c r="K21" s="30">
        <f>IFERROR(INDEX('Raw Data Input'!$K:$K,MATCH($D21,'Raw Data Input'!$D:$D,0)),0)</f>
        <v>183717</v>
      </c>
      <c r="L21" s="30">
        <f>IFERROR(INDEX('Raw Data Input'!$L:$L,MATCH($D21,'Raw Data Input'!$D:$D,0)),0)</f>
        <v>14416453</v>
      </c>
      <c r="M21" s="30">
        <f>IFERROR(INDEX('Raw Data Input'!$M:$M,MATCH($D21,'Raw Data Input'!$D:$D,0)),0)</f>
        <v>-2511179</v>
      </c>
      <c r="N21" s="30">
        <f>IFERROR(INDEX('Raw Data Input'!$N:$N,MATCH($D21,'Raw Data Input'!$D:$D,0)),0)</f>
        <v>359683</v>
      </c>
      <c r="O21" s="30">
        <f>IFERROR(INDEX('Raw Data Input'!$O:$O,MATCH($D21,'Raw Data Input'!$D:$D,0)),0)</f>
        <v>127040</v>
      </c>
      <c r="P21" s="30">
        <f>IFERROR(INDEX('Raw Data Input'!$P:$P,MATCH($D21,'Raw Data Input'!$D:$D,0)),0)</f>
        <v>-786778</v>
      </c>
      <c r="Q21" s="30">
        <f>IFERROR(INDEX('Raw Data Input'!$Q:$Q,MATCH($D21,'Raw Data Input'!$D:$D,0)),0)</f>
        <v>5740507</v>
      </c>
      <c r="R21" s="30">
        <f>IFERROR(INDEX('Raw Data Input'!$R:$R,MATCH($D21,'Raw Data Input'!$D:$D,0)),0)</f>
        <v>6708598</v>
      </c>
      <c r="S21" s="30">
        <f>IFERROR(INDEX('Raw Data Input'!$S:$S,MATCH($D21,'Raw Data Input'!$D:$D,0)),0)</f>
        <v>12670817</v>
      </c>
      <c r="T21" s="30">
        <f>IFERROR(INDEX('Raw Data Input'!$T:$T,MATCH($D21,'Raw Data Input'!$D:$D,0)),0)</f>
        <v>1745636</v>
      </c>
      <c r="U21" s="30">
        <f>IFERROR(INDEX('Raw Data Input'!$F:$F,MATCH($E21,'Raw Data Input'!$D:$D,0)),0)</f>
        <v>6184754</v>
      </c>
      <c r="V21" s="30">
        <f>IFERROR(INDEX('Raw Data Input'!$G:$G,MATCH($E21,'Raw Data Input'!$D:$D,0)),0)</f>
        <v>-3441339</v>
      </c>
      <c r="W21" s="30">
        <f>IFERROR(INDEX('Raw Data Input'!$H:$H,MATCH($E21,'Raw Data Input'!$D:$D,0)),0)</f>
        <v>807528</v>
      </c>
      <c r="X21" s="30">
        <f>IFERROR(INDEX('Raw Data Input'!$I:$I,MATCH($E21,'Raw Data Input'!$D:$D,0)),0)</f>
        <v>3749173</v>
      </c>
      <c r="Y21" s="30">
        <f>IFERROR(INDEX('Raw Data Input'!$J:$J,MATCH($E21,'Raw Data Input'!$D:$D,0)),0)</f>
        <v>5104512</v>
      </c>
      <c r="Z21" s="30">
        <f>IFERROR(INDEX('Raw Data Input'!$K:$K,MATCH($E21,'Raw Data Input'!$D:$D,0)),0)</f>
        <v>183717</v>
      </c>
      <c r="AA21" s="30">
        <f>IFERROR(INDEX('Raw Data Input'!$L:$L,MATCH($E21,'Raw Data Input'!$D:$D,0)),0)</f>
        <v>9107313</v>
      </c>
      <c r="AB21" s="30">
        <f>IFERROR(INDEX('Raw Data Input'!$M:$M,MATCH($E21,'Raw Data Input'!$D:$D,0)),0)</f>
        <v>-2648987</v>
      </c>
      <c r="AC21" s="30">
        <f>IFERROR(INDEX('Raw Data Input'!$N:$N,MATCH($E21,'Raw Data Input'!$D:$D,0)),0)</f>
        <v>92879</v>
      </c>
      <c r="AD21" s="30">
        <f>IFERROR(INDEX('Raw Data Input'!$O:$O,MATCH($E21,'Raw Data Input'!$D:$D,0)),0)</f>
        <v>169688</v>
      </c>
      <c r="AE21" s="30">
        <f>IFERROR(INDEX('Raw Data Input'!$P:$P,MATCH($E21,'Raw Data Input'!$D:$D,0)),0)</f>
        <v>79747</v>
      </c>
      <c r="AF21" s="30">
        <f>IFERROR(INDEX('Raw Data Input'!$Q:$Q,MATCH($E21,'Raw Data Input'!$D:$D,0)),0)</f>
        <v>4164802</v>
      </c>
      <c r="AG21" s="30">
        <f>IFERROR(INDEX('Raw Data Input'!$R:$R,MATCH($E21,'Raw Data Input'!$D:$D,0)),0)</f>
        <v>2800223</v>
      </c>
      <c r="AH21" s="30">
        <f>IFERROR(INDEX('Raw Data Input'!$S:$S,MATCH($E21,'Raw Data Input'!$D:$D,0)),0)</f>
        <v>7195961</v>
      </c>
      <c r="AI21" s="30">
        <f>IFERROR(INDEX('Raw Data Input'!$T:$T,MATCH($E21,'Raw Data Input'!$D:$D,0)),0)</f>
        <v>1911352</v>
      </c>
    </row>
    <row r="22" spans="1:35" ht="15" customHeight="1" x14ac:dyDescent="0.3">
      <c r="A22" s="27" t="s">
        <v>22</v>
      </c>
      <c r="B22" s="27" t="s">
        <v>23</v>
      </c>
      <c r="C22" s="28">
        <v>2021</v>
      </c>
      <c r="D22" s="29" t="str">
        <f t="shared" si="0"/>
        <v>CMLT-2021</v>
      </c>
      <c r="E22" s="29" t="str">
        <f t="shared" si="1"/>
        <v>CMLT-2020</v>
      </c>
      <c r="F22" s="30">
        <f>IFERROR(INDEX('Raw Data Input'!$F:$F,MATCH($D22,'Raw Data Input'!$D:$D,0)),0)</f>
        <v>10240547</v>
      </c>
      <c r="G22" s="30">
        <f>IFERROR(INDEX('Raw Data Input'!$G:$G,MATCH($D22,'Raw Data Input'!$D:$D,0)),0)</f>
        <v>-6784952</v>
      </c>
      <c r="H22" s="30">
        <f>IFERROR(INDEX('Raw Data Input'!$H:$H,MATCH($D22,'Raw Data Input'!$D:$D,0)),0)</f>
        <v>780786</v>
      </c>
      <c r="I22" s="30">
        <f>IFERROR(INDEX('Raw Data Input'!$I:$I,MATCH($D22,'Raw Data Input'!$D:$D,0)),0)</f>
        <v>5004429</v>
      </c>
      <c r="J22" s="30">
        <f>IFERROR(INDEX('Raw Data Input'!$J:$J,MATCH($D22,'Raw Data Input'!$D:$D,0)),0)</f>
        <v>11908854</v>
      </c>
      <c r="K22" s="30">
        <f>IFERROR(INDEX('Raw Data Input'!$K:$K,MATCH($D22,'Raw Data Input'!$D:$D,0)),0)</f>
        <v>183717</v>
      </c>
      <c r="L22" s="30">
        <f>IFERROR(INDEX('Raw Data Input'!$L:$L,MATCH($D22,'Raw Data Input'!$D:$D,0)),0)</f>
        <v>17162012</v>
      </c>
      <c r="M22" s="30">
        <f>IFERROR(INDEX('Raw Data Input'!$M:$M,MATCH($D22,'Raw Data Input'!$D:$D,0)),0)</f>
        <v>-2965783</v>
      </c>
      <c r="N22" s="30">
        <f>IFERROR(INDEX('Raw Data Input'!$N:$N,MATCH($D22,'Raw Data Input'!$D:$D,0)),0)</f>
        <v>577823</v>
      </c>
      <c r="O22" s="30">
        <f>IFERROR(INDEX('Raw Data Input'!$O:$O,MATCH($D22,'Raw Data Input'!$D:$D,0)),0)</f>
        <v>-430157</v>
      </c>
      <c r="P22" s="30">
        <f>IFERROR(INDEX('Raw Data Input'!$P:$P,MATCH($D22,'Raw Data Input'!$D:$D,0)),0)</f>
        <v>2136199</v>
      </c>
      <c r="Q22" s="30">
        <f>IFERROR(INDEX('Raw Data Input'!$Q:$Q,MATCH($D22,'Raw Data Input'!$D:$D,0)),0)</f>
        <v>7203669</v>
      </c>
      <c r="R22" s="30">
        <f>IFERROR(INDEX('Raw Data Input'!$R:$R,MATCH($D22,'Raw Data Input'!$D:$D,0)),0)</f>
        <v>7673454</v>
      </c>
      <c r="S22" s="30">
        <f>IFERROR(INDEX('Raw Data Input'!$S:$S,MATCH($D22,'Raw Data Input'!$D:$D,0)),0)</f>
        <v>15772365</v>
      </c>
      <c r="T22" s="30">
        <f>IFERROR(INDEX('Raw Data Input'!$T:$T,MATCH($D22,'Raw Data Input'!$D:$D,0)),0)</f>
        <v>1389647</v>
      </c>
      <c r="U22" s="30">
        <f>IFERROR(INDEX('Raw Data Input'!$F:$F,MATCH($E22,'Raw Data Input'!$D:$D,0)),0)</f>
        <v>7315927</v>
      </c>
      <c r="V22" s="30">
        <f>IFERROR(INDEX('Raw Data Input'!$G:$G,MATCH($E22,'Raw Data Input'!$D:$D,0)),0)</f>
        <v>-4322986</v>
      </c>
      <c r="W22" s="30">
        <f>IFERROR(INDEX('Raw Data Input'!$H:$H,MATCH($E22,'Raw Data Input'!$D:$D,0)),0)</f>
        <v>276701</v>
      </c>
      <c r="X22" s="30">
        <f>IFERROR(INDEX('Raw Data Input'!$I:$I,MATCH($E22,'Raw Data Input'!$D:$D,0)),0)</f>
        <v>4933650</v>
      </c>
      <c r="Y22" s="30">
        <f>IFERROR(INDEX('Raw Data Input'!$J:$J,MATCH($E22,'Raw Data Input'!$D:$D,0)),0)</f>
        <v>9226701</v>
      </c>
      <c r="Z22" s="30">
        <f>IFERROR(INDEX('Raw Data Input'!$K:$K,MATCH($E22,'Raw Data Input'!$D:$D,0)),0)</f>
        <v>183717</v>
      </c>
      <c r="AA22" s="30">
        <f>IFERROR(INDEX('Raw Data Input'!$L:$L,MATCH($E22,'Raw Data Input'!$D:$D,0)),0)</f>
        <v>14416453</v>
      </c>
      <c r="AB22" s="30">
        <f>IFERROR(INDEX('Raw Data Input'!$M:$M,MATCH($E22,'Raw Data Input'!$D:$D,0)),0)</f>
        <v>-2511179</v>
      </c>
      <c r="AC22" s="30">
        <f>IFERROR(INDEX('Raw Data Input'!$N:$N,MATCH($E22,'Raw Data Input'!$D:$D,0)),0)</f>
        <v>359683</v>
      </c>
      <c r="AD22" s="30">
        <f>IFERROR(INDEX('Raw Data Input'!$O:$O,MATCH($E22,'Raw Data Input'!$D:$D,0)),0)</f>
        <v>127040</v>
      </c>
      <c r="AE22" s="30">
        <f>IFERROR(INDEX('Raw Data Input'!$P:$P,MATCH($E22,'Raw Data Input'!$D:$D,0)),0)</f>
        <v>-786778</v>
      </c>
      <c r="AF22" s="30">
        <f>IFERROR(INDEX('Raw Data Input'!$Q:$Q,MATCH($E22,'Raw Data Input'!$D:$D,0)),0)</f>
        <v>5740507</v>
      </c>
      <c r="AG22" s="30">
        <f>IFERROR(INDEX('Raw Data Input'!$R:$R,MATCH($E22,'Raw Data Input'!$D:$D,0)),0)</f>
        <v>6708598</v>
      </c>
      <c r="AH22" s="30">
        <f>IFERROR(INDEX('Raw Data Input'!$S:$S,MATCH($E22,'Raw Data Input'!$D:$D,0)),0)</f>
        <v>12670817</v>
      </c>
      <c r="AI22" s="30">
        <f>IFERROR(INDEX('Raw Data Input'!$T:$T,MATCH($E22,'Raw Data Input'!$D:$D,0)),0)</f>
        <v>1745636</v>
      </c>
    </row>
    <row r="23" spans="1:35" ht="15" customHeight="1" x14ac:dyDescent="0.3">
      <c r="A23" s="27" t="s">
        <v>22</v>
      </c>
      <c r="B23" s="27" t="s">
        <v>23</v>
      </c>
      <c r="C23" s="28">
        <v>2022</v>
      </c>
      <c r="D23" s="29" t="str">
        <f t="shared" si="0"/>
        <v>CMLT-2022</v>
      </c>
      <c r="E23" s="29" t="str">
        <f t="shared" si="1"/>
        <v>CMLT-2021</v>
      </c>
      <c r="F23" s="30">
        <f>IFERROR(INDEX('Raw Data Input'!$F:$F,MATCH($D23,'Raw Data Input'!$D:$D,0)),0)</f>
        <v>13414453</v>
      </c>
      <c r="G23" s="30">
        <f>IFERROR(INDEX('Raw Data Input'!$G:$G,MATCH($D23,'Raw Data Input'!$D:$D,0)),0)</f>
        <v>-8575153</v>
      </c>
      <c r="H23" s="30">
        <f>IFERROR(INDEX('Raw Data Input'!$H:$H,MATCH($D23,'Raw Data Input'!$D:$D,0)),0)</f>
        <v>1488987</v>
      </c>
      <c r="I23" s="30">
        <f>IFERROR(INDEX('Raw Data Input'!$I:$I,MATCH($D23,'Raw Data Input'!$D:$D,0)),0)</f>
        <v>7873168</v>
      </c>
      <c r="J23" s="30">
        <f>IFERROR(INDEX('Raw Data Input'!$J:$J,MATCH($D23,'Raw Data Input'!$D:$D,0)),0)</f>
        <v>11207309</v>
      </c>
      <c r="K23" s="30">
        <f>IFERROR(INDEX('Raw Data Input'!$K:$K,MATCH($D23,'Raw Data Input'!$D:$D,0)),0)</f>
        <v>0</v>
      </c>
      <c r="L23" s="30">
        <f>IFERROR(INDEX('Raw Data Input'!$L:$L,MATCH($D23,'Raw Data Input'!$D:$D,0)),0)</f>
        <v>19108954</v>
      </c>
      <c r="M23" s="30">
        <f>IFERROR(INDEX('Raw Data Input'!$M:$M,MATCH($D23,'Raw Data Input'!$D:$D,0)),0)</f>
        <v>-4899129</v>
      </c>
      <c r="N23" s="30">
        <f>IFERROR(INDEX('Raw Data Input'!$N:$N,MATCH($D23,'Raw Data Input'!$D:$D,0)),0)</f>
        <v>1130692</v>
      </c>
      <c r="O23" s="30">
        <f>IFERROR(INDEX('Raw Data Input'!$O:$O,MATCH($D23,'Raw Data Input'!$D:$D,0)),0)</f>
        <v>-1378838</v>
      </c>
      <c r="P23" s="30">
        <f>IFERROR(INDEX('Raw Data Input'!$P:$P,MATCH($D23,'Raw Data Input'!$D:$D,0)),0)</f>
        <v>369291</v>
      </c>
      <c r="Q23" s="30">
        <f>IFERROR(INDEX('Raw Data Input'!$Q:$Q,MATCH($D23,'Raw Data Input'!$D:$D,0)),0)</f>
        <v>6750270</v>
      </c>
      <c r="R23" s="30">
        <f>IFERROR(INDEX('Raw Data Input'!$R:$R,MATCH($D23,'Raw Data Input'!$D:$D,0)),0)</f>
        <v>11256588</v>
      </c>
      <c r="S23" s="30">
        <f>IFERROR(INDEX('Raw Data Input'!$S:$S,MATCH($D23,'Raw Data Input'!$D:$D,0)),0)</f>
        <v>19135832</v>
      </c>
      <c r="T23" s="30">
        <f>IFERROR(INDEX('Raw Data Input'!$T:$T,MATCH($D23,'Raw Data Input'!$D:$D,0)),0)</f>
        <v>-26878</v>
      </c>
      <c r="U23" s="30">
        <f>IFERROR(INDEX('Raw Data Input'!$F:$F,MATCH($E23,'Raw Data Input'!$D:$D,0)),0)</f>
        <v>10240547</v>
      </c>
      <c r="V23" s="30">
        <f>IFERROR(INDEX('Raw Data Input'!$G:$G,MATCH($E23,'Raw Data Input'!$D:$D,0)),0)</f>
        <v>-6784952</v>
      </c>
      <c r="W23" s="30">
        <f>IFERROR(INDEX('Raw Data Input'!$H:$H,MATCH($E23,'Raw Data Input'!$D:$D,0)),0)</f>
        <v>780786</v>
      </c>
      <c r="X23" s="30">
        <f>IFERROR(INDEX('Raw Data Input'!$I:$I,MATCH($E23,'Raw Data Input'!$D:$D,0)),0)</f>
        <v>5004429</v>
      </c>
      <c r="Y23" s="30">
        <f>IFERROR(INDEX('Raw Data Input'!$J:$J,MATCH($E23,'Raw Data Input'!$D:$D,0)),0)</f>
        <v>11908854</v>
      </c>
      <c r="Z23" s="30">
        <f>IFERROR(INDEX('Raw Data Input'!$K:$K,MATCH($E23,'Raw Data Input'!$D:$D,0)),0)</f>
        <v>183717</v>
      </c>
      <c r="AA23" s="30">
        <f>IFERROR(INDEX('Raw Data Input'!$L:$L,MATCH($E23,'Raw Data Input'!$D:$D,0)),0)</f>
        <v>17162012</v>
      </c>
      <c r="AB23" s="30">
        <f>IFERROR(INDEX('Raw Data Input'!$M:$M,MATCH($E23,'Raw Data Input'!$D:$D,0)),0)</f>
        <v>-2965783</v>
      </c>
      <c r="AC23" s="30">
        <f>IFERROR(INDEX('Raw Data Input'!$N:$N,MATCH($E23,'Raw Data Input'!$D:$D,0)),0)</f>
        <v>577823</v>
      </c>
      <c r="AD23" s="30">
        <f>IFERROR(INDEX('Raw Data Input'!$O:$O,MATCH($E23,'Raw Data Input'!$D:$D,0)),0)</f>
        <v>-430157</v>
      </c>
      <c r="AE23" s="30">
        <f>IFERROR(INDEX('Raw Data Input'!$P:$P,MATCH($E23,'Raw Data Input'!$D:$D,0)),0)</f>
        <v>2136199</v>
      </c>
      <c r="AF23" s="30">
        <f>IFERROR(INDEX('Raw Data Input'!$Q:$Q,MATCH($E23,'Raw Data Input'!$D:$D,0)),0)</f>
        <v>7203669</v>
      </c>
      <c r="AG23" s="30">
        <f>IFERROR(INDEX('Raw Data Input'!$R:$R,MATCH($E23,'Raw Data Input'!$D:$D,0)),0)</f>
        <v>7673454</v>
      </c>
      <c r="AH23" s="30">
        <f>IFERROR(INDEX('Raw Data Input'!$S:$S,MATCH($E23,'Raw Data Input'!$D:$D,0)),0)</f>
        <v>15772365</v>
      </c>
      <c r="AI23" s="30">
        <f>IFERROR(INDEX('Raw Data Input'!$T:$T,MATCH($E23,'Raw Data Input'!$D:$D,0)),0)</f>
        <v>1389647</v>
      </c>
    </row>
    <row r="24" spans="1:35" ht="15" customHeight="1" thickBot="1" x14ac:dyDescent="0.35">
      <c r="A24" s="81" t="s">
        <v>22</v>
      </c>
      <c r="B24" s="81" t="s">
        <v>23</v>
      </c>
      <c r="C24" s="82">
        <v>2023</v>
      </c>
      <c r="D24" s="83" t="str">
        <f t="shared" si="0"/>
        <v>CMLT-2023</v>
      </c>
      <c r="E24" s="83" t="str">
        <f t="shared" si="1"/>
        <v>CMLT-2022</v>
      </c>
      <c r="F24" s="84">
        <f>IFERROR(INDEX('Raw Data Input'!$F:$F,MATCH($D24,'Raw Data Input'!$D:$D,0)),0)</f>
        <v>22432725</v>
      </c>
      <c r="G24" s="84">
        <f>IFERROR(INDEX('Raw Data Input'!$G:$G,MATCH($D24,'Raw Data Input'!$D:$D,0)),0)</f>
        <v>-11006790</v>
      </c>
      <c r="H24" s="84">
        <f>IFERROR(INDEX('Raw Data Input'!$H:$H,MATCH($D24,'Raw Data Input'!$D:$D,0)),0)</f>
        <v>1313924</v>
      </c>
      <c r="I24" s="84">
        <f>IFERROR(INDEX('Raw Data Input'!$I:$I,MATCH($D24,'Raw Data Input'!$D:$D,0)),0)</f>
        <v>10330818</v>
      </c>
      <c r="J24" s="84">
        <f>IFERROR(INDEX('Raw Data Input'!$J:$J,MATCH($D24,'Raw Data Input'!$D:$D,0)),0)</f>
        <v>10934300</v>
      </c>
      <c r="K24" s="84">
        <f>IFERROR(INDEX('Raw Data Input'!$K:$K,MATCH($D24,'Raw Data Input'!$D:$D,0)),0)</f>
        <v>0</v>
      </c>
      <c r="L24" s="84">
        <f>IFERROR(INDEX('Raw Data Input'!$L:$L,MATCH($D24,'Raw Data Input'!$D:$D,0)),0)</f>
        <v>21286624</v>
      </c>
      <c r="M24" s="84">
        <f>IFERROR(INDEX('Raw Data Input'!$M:$M,MATCH($D24,'Raw Data Input'!$D:$D,0)),0)</f>
        <v>-7239971</v>
      </c>
      <c r="N24" s="84">
        <f>IFERROR(INDEX('Raw Data Input'!$N:$N,MATCH($D24,'Raw Data Input'!$D:$D,0)),0)</f>
        <v>927866</v>
      </c>
      <c r="O24" s="84">
        <f>IFERROR(INDEX('Raw Data Input'!$O:$O,MATCH($D24,'Raw Data Input'!$D:$D,0)),0)</f>
        <v>2161177</v>
      </c>
      <c r="P24" s="84">
        <f>IFERROR(INDEX('Raw Data Input'!$P:$P,MATCH($D24,'Raw Data Input'!$D:$D,0)),0)</f>
        <v>4045054</v>
      </c>
      <c r="Q24" s="84">
        <f>IFERROR(INDEX('Raw Data Input'!$Q:$Q,MATCH($D24,'Raw Data Input'!$D:$D,0)),0)</f>
        <v>8737681</v>
      </c>
      <c r="R24" s="84">
        <f>IFERROR(INDEX('Raw Data Input'!$R:$R,MATCH($D24,'Raw Data Input'!$D:$D,0)),0)</f>
        <v>9347748</v>
      </c>
      <c r="S24" s="84">
        <f>IFERROR(INDEX('Raw Data Input'!$S:$S,MATCH($D24,'Raw Data Input'!$D:$D,0)),0)</f>
        <v>19427835</v>
      </c>
      <c r="T24" s="84">
        <f>IFERROR(INDEX('Raw Data Input'!$T:$T,MATCH($D24,'Raw Data Input'!$D:$D,0)),0)</f>
        <v>1858789</v>
      </c>
      <c r="U24" s="84">
        <f>IFERROR(INDEX('Raw Data Input'!$F:$F,MATCH($E24,'Raw Data Input'!$D:$D,0)),0)</f>
        <v>13414453</v>
      </c>
      <c r="V24" s="84">
        <f>IFERROR(INDEX('Raw Data Input'!$G:$G,MATCH($E24,'Raw Data Input'!$D:$D,0)),0)</f>
        <v>-8575153</v>
      </c>
      <c r="W24" s="84">
        <f>IFERROR(INDEX('Raw Data Input'!$H:$H,MATCH($E24,'Raw Data Input'!$D:$D,0)),0)</f>
        <v>1488987</v>
      </c>
      <c r="X24" s="84">
        <f>IFERROR(INDEX('Raw Data Input'!$I:$I,MATCH($E24,'Raw Data Input'!$D:$D,0)),0)</f>
        <v>7873168</v>
      </c>
      <c r="Y24" s="84">
        <f>IFERROR(INDEX('Raw Data Input'!$J:$J,MATCH($E24,'Raw Data Input'!$D:$D,0)),0)</f>
        <v>11207309</v>
      </c>
      <c r="Z24" s="84">
        <f>IFERROR(INDEX('Raw Data Input'!$K:$K,MATCH($E24,'Raw Data Input'!$D:$D,0)),0)</f>
        <v>0</v>
      </c>
      <c r="AA24" s="84">
        <f>IFERROR(INDEX('Raw Data Input'!$L:$L,MATCH($E24,'Raw Data Input'!$D:$D,0)),0)</f>
        <v>19108954</v>
      </c>
      <c r="AB24" s="84">
        <f>IFERROR(INDEX('Raw Data Input'!$M:$M,MATCH($E24,'Raw Data Input'!$D:$D,0)),0)</f>
        <v>-4899129</v>
      </c>
      <c r="AC24" s="84">
        <f>IFERROR(INDEX('Raw Data Input'!$N:$N,MATCH($E24,'Raw Data Input'!$D:$D,0)),0)</f>
        <v>1130692</v>
      </c>
      <c r="AD24" s="84">
        <f>IFERROR(INDEX('Raw Data Input'!$O:$O,MATCH($E24,'Raw Data Input'!$D:$D,0)),0)</f>
        <v>-1378838</v>
      </c>
      <c r="AE24" s="84">
        <f>IFERROR(INDEX('Raw Data Input'!$P:$P,MATCH($E24,'Raw Data Input'!$D:$D,0)),0)</f>
        <v>369291</v>
      </c>
      <c r="AF24" s="84">
        <f>IFERROR(INDEX('Raw Data Input'!$Q:$Q,MATCH($E24,'Raw Data Input'!$D:$D,0)),0)</f>
        <v>6750270</v>
      </c>
      <c r="AG24" s="84">
        <f>IFERROR(INDEX('Raw Data Input'!$R:$R,MATCH($E24,'Raw Data Input'!$D:$D,0)),0)</f>
        <v>11256588</v>
      </c>
      <c r="AH24" s="84">
        <f>IFERROR(INDEX('Raw Data Input'!$S:$S,MATCH($E24,'Raw Data Input'!$D:$D,0)),0)</f>
        <v>19135832</v>
      </c>
      <c r="AI24" s="84">
        <f>IFERROR(INDEX('Raw Data Input'!$T:$T,MATCH($E24,'Raw Data Input'!$D:$D,0)),0)</f>
        <v>-26878</v>
      </c>
    </row>
    <row r="25" spans="1:35" ht="15" customHeight="1" x14ac:dyDescent="0.3">
      <c r="A25" s="85" t="s">
        <v>25</v>
      </c>
      <c r="B25" s="85" t="s">
        <v>26</v>
      </c>
      <c r="C25" s="86">
        <v>2019</v>
      </c>
      <c r="D25" s="87" t="str">
        <f t="shared" si="0"/>
        <v>CPC-2019</v>
      </c>
      <c r="E25" s="87" t="str">
        <f t="shared" si="1"/>
        <v>CPC-2018</v>
      </c>
      <c r="F25" s="88">
        <f>IFERROR(INDEX('Raw Data Input'!$F:$F,MATCH($D25,'Raw Data Input'!$D:$D,0)),0)</f>
        <v>28433361</v>
      </c>
      <c r="G25" s="88">
        <f>IFERROR(INDEX('Raw Data Input'!$G:$G,MATCH($D25,'Raw Data Input'!$D:$D,0)),0)</f>
        <v>-23661338</v>
      </c>
      <c r="H25" s="88">
        <f>IFERROR(INDEX('Raw Data Input'!$H:$H,MATCH($D25,'Raw Data Input'!$D:$D,0)),0)</f>
        <v>2370230</v>
      </c>
      <c r="I25" s="88">
        <f>IFERROR(INDEX('Raw Data Input'!$I:$I,MATCH($D25,'Raw Data Input'!$D:$D,0)),0)</f>
        <v>19119538</v>
      </c>
      <c r="J25" s="88">
        <f>IFERROR(INDEX('Raw Data Input'!$J:$J,MATCH($D25,'Raw Data Input'!$D:$D,0)),0)</f>
        <v>126804747</v>
      </c>
      <c r="K25" s="88">
        <f>IFERROR(INDEX('Raw Data Input'!$K:$K,MATCH($D25,'Raw Data Input'!$D:$D,0)),0)</f>
        <v>0</v>
      </c>
      <c r="L25" s="88">
        <f>IFERROR(INDEX('Raw Data Input'!$L:$L,MATCH($D25,'Raw Data Input'!$D:$D,0)),0)</f>
        <v>145924285</v>
      </c>
      <c r="M25" s="88">
        <f>IFERROR(INDEX('Raw Data Input'!$M:$M,MATCH($D25,'Raw Data Input'!$D:$D,0)),0)</f>
        <v>-5811357</v>
      </c>
      <c r="N25" s="88">
        <f>IFERROR(INDEX('Raw Data Input'!$N:$N,MATCH($D25,'Raw Data Input'!$D:$D,0)),0)</f>
        <v>3649319</v>
      </c>
      <c r="O25" s="88">
        <f>IFERROR(INDEX('Raw Data Input'!$O:$O,MATCH($D25,'Raw Data Input'!$D:$D,0)),0)</f>
        <v>-3362109</v>
      </c>
      <c r="P25" s="88">
        <f>IFERROR(INDEX('Raw Data Input'!$P:$P,MATCH($D25,'Raw Data Input'!$D:$D,0)),0)</f>
        <v>1170383</v>
      </c>
      <c r="Q25" s="88">
        <f>IFERROR(INDEX('Raw Data Input'!$Q:$Q,MATCH($D25,'Raw Data Input'!$D:$D,0)),0)</f>
        <v>71381548</v>
      </c>
      <c r="R25" s="88">
        <f>IFERROR(INDEX('Raw Data Input'!$R:$R,MATCH($D25,'Raw Data Input'!$D:$D,0)),0)</f>
        <v>14507042</v>
      </c>
      <c r="S25" s="88">
        <f>IFERROR(INDEX('Raw Data Input'!$S:$S,MATCH($D25,'Raw Data Input'!$D:$D,0)),0)</f>
        <v>168323678</v>
      </c>
      <c r="T25" s="88">
        <f>IFERROR(INDEX('Raw Data Input'!$T:$T,MATCH($D25,'Raw Data Input'!$D:$D,0)),0)</f>
        <v>-22399393</v>
      </c>
      <c r="U25" s="88">
        <f>IFERROR(INDEX('Raw Data Input'!$F:$F,MATCH($E25,'Raw Data Input'!$D:$D,0)),0)</f>
        <v>28264711</v>
      </c>
      <c r="V25" s="88">
        <f>IFERROR(INDEX('Raw Data Input'!$G:$G,MATCH($E25,'Raw Data Input'!$D:$D,0)),0)</f>
        <v>-27476274</v>
      </c>
      <c r="W25" s="88">
        <f>IFERROR(INDEX('Raw Data Input'!$H:$H,MATCH($E25,'Raw Data Input'!$D:$D,0)),0)</f>
        <v>6816788</v>
      </c>
      <c r="X25" s="88">
        <f>IFERROR(INDEX('Raw Data Input'!$I:$I,MATCH($E25,'Raw Data Input'!$D:$D,0)),0)</f>
        <v>16028038</v>
      </c>
      <c r="Y25" s="88">
        <f>IFERROR(INDEX('Raw Data Input'!$J:$J,MATCH($E25,'Raw Data Input'!$D:$D,0)),0)</f>
        <v>108383558</v>
      </c>
      <c r="Z25" s="88">
        <f>IFERROR(INDEX('Raw Data Input'!$K:$K,MATCH($E25,'Raw Data Input'!$D:$D,0)),0)</f>
        <v>0</v>
      </c>
      <c r="AA25" s="88">
        <f>IFERROR(INDEX('Raw Data Input'!$L:$L,MATCH($E25,'Raw Data Input'!$D:$D,0)),0)</f>
        <v>124411596</v>
      </c>
      <c r="AB25" s="88">
        <f>IFERROR(INDEX('Raw Data Input'!$M:$M,MATCH($E25,'Raw Data Input'!$D:$D,0)),0)</f>
        <v>-4462336</v>
      </c>
      <c r="AC25" s="88">
        <f>IFERROR(INDEX('Raw Data Input'!$N:$N,MATCH($E25,'Raw Data Input'!$D:$D,0)),0)</f>
        <v>3787534</v>
      </c>
      <c r="AD25" s="88">
        <f>IFERROR(INDEX('Raw Data Input'!$O:$O,MATCH($E25,'Raw Data Input'!$D:$D,0)),0)</f>
        <v>-12011647</v>
      </c>
      <c r="AE25" s="88">
        <f>IFERROR(INDEX('Raw Data Input'!$P:$P,MATCH($E25,'Raw Data Input'!$D:$D,0)),0)</f>
        <v>-2258684</v>
      </c>
      <c r="AF25" s="88">
        <f>IFERROR(INDEX('Raw Data Input'!$Q:$Q,MATCH($E25,'Raw Data Input'!$D:$D,0)),0)</f>
        <v>52130972</v>
      </c>
      <c r="AG25" s="88">
        <f>IFERROR(INDEX('Raw Data Input'!$R:$R,MATCH($E25,'Raw Data Input'!$D:$D,0)),0)</f>
        <v>30857327</v>
      </c>
      <c r="AH25" s="88">
        <f>IFERROR(INDEX('Raw Data Input'!$S:$S,MATCH($E25,'Raw Data Input'!$D:$D,0)),0)</f>
        <v>158329087</v>
      </c>
      <c r="AI25" s="88">
        <f>IFERROR(INDEX('Raw Data Input'!$T:$T,MATCH($E25,'Raw Data Input'!$D:$D,0)),0)</f>
        <v>-33917491</v>
      </c>
    </row>
    <row r="26" spans="1:35" ht="15" customHeight="1" x14ac:dyDescent="0.3">
      <c r="A26" s="27" t="s">
        <v>25</v>
      </c>
      <c r="B26" s="27" t="s">
        <v>26</v>
      </c>
      <c r="C26" s="28">
        <v>2020</v>
      </c>
      <c r="D26" s="29" t="str">
        <f t="shared" si="0"/>
        <v>CPC-2020</v>
      </c>
      <c r="E26" s="29" t="str">
        <f t="shared" si="1"/>
        <v>CPC-2019</v>
      </c>
      <c r="F26" s="30">
        <f>IFERROR(INDEX('Raw Data Input'!$F:$F,MATCH($D26,'Raw Data Input'!$D:$D,0)),0)</f>
        <v>13645898</v>
      </c>
      <c r="G26" s="30">
        <f>IFERROR(INDEX('Raw Data Input'!$G:$G,MATCH($D26,'Raw Data Input'!$D:$D,0)),0)</f>
        <v>-16678361</v>
      </c>
      <c r="H26" s="30">
        <f>IFERROR(INDEX('Raw Data Input'!$H:$H,MATCH($D26,'Raw Data Input'!$D:$D,0)),0)</f>
        <v>568334</v>
      </c>
      <c r="I26" s="30">
        <f>IFERROR(INDEX('Raw Data Input'!$I:$I,MATCH($D26,'Raw Data Input'!$D:$D,0)),0)</f>
        <v>30303050</v>
      </c>
      <c r="J26" s="30">
        <f>IFERROR(INDEX('Raw Data Input'!$J:$J,MATCH($D26,'Raw Data Input'!$D:$D,0)),0)</f>
        <v>122202360</v>
      </c>
      <c r="K26" s="30">
        <f>IFERROR(INDEX('Raw Data Input'!$K:$K,MATCH($D26,'Raw Data Input'!$D:$D,0)),0)</f>
        <v>0</v>
      </c>
      <c r="L26" s="30">
        <f>IFERROR(INDEX('Raw Data Input'!$L:$L,MATCH($D26,'Raw Data Input'!$D:$D,0)),0)</f>
        <v>152506410</v>
      </c>
      <c r="M26" s="30">
        <f>IFERROR(INDEX('Raw Data Input'!$M:$M,MATCH($D26,'Raw Data Input'!$D:$D,0)),0)</f>
        <v>-5043612</v>
      </c>
      <c r="N26" s="30">
        <f>IFERROR(INDEX('Raw Data Input'!$N:$N,MATCH($D26,'Raw Data Input'!$D:$D,0)),0)</f>
        <v>6252684</v>
      </c>
      <c r="O26" s="30">
        <f>IFERROR(INDEX('Raw Data Input'!$O:$O,MATCH($D26,'Raw Data Input'!$D:$D,0)),0)</f>
        <v>-18642692</v>
      </c>
      <c r="P26" s="30">
        <f>IFERROR(INDEX('Raw Data Input'!$P:$P,MATCH($D26,'Raw Data Input'!$D:$D,0)),0)</f>
        <v>5102</v>
      </c>
      <c r="Q26" s="30">
        <f>IFERROR(INDEX('Raw Data Input'!$Q:$Q,MATCH($D26,'Raw Data Input'!$D:$D,0)),0)</f>
        <v>139123457</v>
      </c>
      <c r="R26" s="30">
        <f>IFERROR(INDEX('Raw Data Input'!$R:$R,MATCH($D26,'Raw Data Input'!$D:$D,0)),0)</f>
        <v>25437500</v>
      </c>
      <c r="S26" s="30">
        <f>IFERROR(INDEX('Raw Data Input'!$S:$S,MATCH($D26,'Raw Data Input'!$D:$D,0)),0)</f>
        <v>190669153</v>
      </c>
      <c r="T26" s="30">
        <f>IFERROR(INDEX('Raw Data Input'!$T:$T,MATCH($D26,'Raw Data Input'!$D:$D,0)),0)</f>
        <v>-38162743</v>
      </c>
      <c r="U26" s="30">
        <f>IFERROR(INDEX('Raw Data Input'!$F:$F,MATCH($E26,'Raw Data Input'!$D:$D,0)),0)</f>
        <v>28433361</v>
      </c>
      <c r="V26" s="30">
        <f>IFERROR(INDEX('Raw Data Input'!$G:$G,MATCH($E26,'Raw Data Input'!$D:$D,0)),0)</f>
        <v>-23661338</v>
      </c>
      <c r="W26" s="30">
        <f>IFERROR(INDEX('Raw Data Input'!$H:$H,MATCH($E26,'Raw Data Input'!$D:$D,0)),0)</f>
        <v>2370230</v>
      </c>
      <c r="X26" s="30">
        <f>IFERROR(INDEX('Raw Data Input'!$I:$I,MATCH($E26,'Raw Data Input'!$D:$D,0)),0)</f>
        <v>19119538</v>
      </c>
      <c r="Y26" s="30">
        <f>IFERROR(INDEX('Raw Data Input'!$J:$J,MATCH($E26,'Raw Data Input'!$D:$D,0)),0)</f>
        <v>126804747</v>
      </c>
      <c r="Z26" s="30">
        <f>IFERROR(INDEX('Raw Data Input'!$K:$K,MATCH($E26,'Raw Data Input'!$D:$D,0)),0)</f>
        <v>0</v>
      </c>
      <c r="AA26" s="30">
        <f>IFERROR(INDEX('Raw Data Input'!$L:$L,MATCH($E26,'Raw Data Input'!$D:$D,0)),0)</f>
        <v>145924285</v>
      </c>
      <c r="AB26" s="30">
        <f>IFERROR(INDEX('Raw Data Input'!$M:$M,MATCH($E26,'Raw Data Input'!$D:$D,0)),0)</f>
        <v>-5811357</v>
      </c>
      <c r="AC26" s="30">
        <f>IFERROR(INDEX('Raw Data Input'!$N:$N,MATCH($E26,'Raw Data Input'!$D:$D,0)),0)</f>
        <v>3649319</v>
      </c>
      <c r="AD26" s="30">
        <f>IFERROR(INDEX('Raw Data Input'!$O:$O,MATCH($E26,'Raw Data Input'!$D:$D,0)),0)</f>
        <v>-3362109</v>
      </c>
      <c r="AE26" s="30">
        <f>IFERROR(INDEX('Raw Data Input'!$P:$P,MATCH($E26,'Raw Data Input'!$D:$D,0)),0)</f>
        <v>1170383</v>
      </c>
      <c r="AF26" s="30">
        <f>IFERROR(INDEX('Raw Data Input'!$Q:$Q,MATCH($E26,'Raw Data Input'!$D:$D,0)),0)</f>
        <v>71381548</v>
      </c>
      <c r="AG26" s="30">
        <f>IFERROR(INDEX('Raw Data Input'!$R:$R,MATCH($E26,'Raw Data Input'!$D:$D,0)),0)</f>
        <v>14507042</v>
      </c>
      <c r="AH26" s="30">
        <f>IFERROR(INDEX('Raw Data Input'!$S:$S,MATCH($E26,'Raw Data Input'!$D:$D,0)),0)</f>
        <v>168323678</v>
      </c>
      <c r="AI26" s="30">
        <f>IFERROR(INDEX('Raw Data Input'!$T:$T,MATCH($E26,'Raw Data Input'!$D:$D,0)),0)</f>
        <v>-22399393</v>
      </c>
    </row>
    <row r="27" spans="1:35" ht="15" customHeight="1" x14ac:dyDescent="0.3">
      <c r="A27" s="27" t="s">
        <v>25</v>
      </c>
      <c r="B27" s="27" t="s">
        <v>26</v>
      </c>
      <c r="C27" s="28">
        <v>2021</v>
      </c>
      <c r="D27" s="29" t="str">
        <f t="shared" si="0"/>
        <v>CPC-2021</v>
      </c>
      <c r="E27" s="29" t="str">
        <f t="shared" si="1"/>
        <v>CPC-2020</v>
      </c>
      <c r="F27" s="30">
        <f>IFERROR(INDEX('Raw Data Input'!$F:$F,MATCH($D27,'Raw Data Input'!$D:$D,0)),0)</f>
        <v>41835142</v>
      </c>
      <c r="G27" s="30">
        <f>IFERROR(INDEX('Raw Data Input'!$G:$G,MATCH($D27,'Raw Data Input'!$D:$D,0)),0)</f>
        <v>-46828569</v>
      </c>
      <c r="H27" s="30">
        <f>IFERROR(INDEX('Raw Data Input'!$H:$H,MATCH($D27,'Raw Data Input'!$D:$D,0)),0)</f>
        <v>8266586</v>
      </c>
      <c r="I27" s="30">
        <f>IFERROR(INDEX('Raw Data Input'!$I:$I,MATCH($D27,'Raw Data Input'!$D:$D,0)),0)</f>
        <v>39945981</v>
      </c>
      <c r="J27" s="30">
        <f>IFERROR(INDEX('Raw Data Input'!$J:$J,MATCH($D27,'Raw Data Input'!$D:$D,0)),0)</f>
        <v>120088574</v>
      </c>
      <c r="K27" s="30">
        <f>IFERROR(INDEX('Raw Data Input'!$K:$K,MATCH($D27,'Raw Data Input'!$D:$D,0)),0)</f>
        <v>0</v>
      </c>
      <c r="L27" s="30">
        <f>IFERROR(INDEX('Raw Data Input'!$L:$L,MATCH($D27,'Raw Data Input'!$D:$D,0)),0)</f>
        <v>160034555</v>
      </c>
      <c r="M27" s="30">
        <f>IFERROR(INDEX('Raw Data Input'!$M:$M,MATCH($D27,'Raw Data Input'!$D:$D,0)),0)</f>
        <v>-4219164</v>
      </c>
      <c r="N27" s="30">
        <f>IFERROR(INDEX('Raw Data Input'!$N:$N,MATCH($D27,'Raw Data Input'!$D:$D,0)),0)</f>
        <v>5977402</v>
      </c>
      <c r="O27" s="30">
        <f>IFERROR(INDEX('Raw Data Input'!$O:$O,MATCH($D27,'Raw Data Input'!$D:$D,0)),0)</f>
        <v>-15088714</v>
      </c>
      <c r="P27" s="30">
        <f>IFERROR(INDEX('Raw Data Input'!$P:$P,MATCH($D27,'Raw Data Input'!$D:$D,0)),0)</f>
        <v>5292169</v>
      </c>
      <c r="Q27" s="30">
        <f>IFERROR(INDEX('Raw Data Input'!$Q:$Q,MATCH($D27,'Raw Data Input'!$D:$D,0)),0)</f>
        <v>153096464</v>
      </c>
      <c r="R27" s="30">
        <f>IFERROR(INDEX('Raw Data Input'!$R:$R,MATCH($D27,'Raw Data Input'!$D:$D,0)),0)</f>
        <v>33556428</v>
      </c>
      <c r="S27" s="30">
        <f>IFERROR(INDEX('Raw Data Input'!$S:$S,MATCH($D27,'Raw Data Input'!$D:$D,0)),0)</f>
        <v>209620970</v>
      </c>
      <c r="T27" s="30">
        <f>IFERROR(INDEX('Raw Data Input'!$T:$T,MATCH($D27,'Raw Data Input'!$D:$D,0)),0)</f>
        <v>-49586415</v>
      </c>
      <c r="U27" s="30">
        <f>IFERROR(INDEX('Raw Data Input'!$F:$F,MATCH($E27,'Raw Data Input'!$D:$D,0)),0)</f>
        <v>13645898</v>
      </c>
      <c r="V27" s="30">
        <f>IFERROR(INDEX('Raw Data Input'!$G:$G,MATCH($E27,'Raw Data Input'!$D:$D,0)),0)</f>
        <v>-16678361</v>
      </c>
      <c r="W27" s="30">
        <f>IFERROR(INDEX('Raw Data Input'!$H:$H,MATCH($E27,'Raw Data Input'!$D:$D,0)),0)</f>
        <v>568334</v>
      </c>
      <c r="X27" s="30">
        <f>IFERROR(INDEX('Raw Data Input'!$I:$I,MATCH($E27,'Raw Data Input'!$D:$D,0)),0)</f>
        <v>30303050</v>
      </c>
      <c r="Y27" s="30">
        <f>IFERROR(INDEX('Raw Data Input'!$J:$J,MATCH($E27,'Raw Data Input'!$D:$D,0)),0)</f>
        <v>122202360</v>
      </c>
      <c r="Z27" s="30">
        <f>IFERROR(INDEX('Raw Data Input'!$K:$K,MATCH($E27,'Raw Data Input'!$D:$D,0)),0)</f>
        <v>0</v>
      </c>
      <c r="AA27" s="30">
        <f>IFERROR(INDEX('Raw Data Input'!$L:$L,MATCH($E27,'Raw Data Input'!$D:$D,0)),0)</f>
        <v>152506410</v>
      </c>
      <c r="AB27" s="30">
        <f>IFERROR(INDEX('Raw Data Input'!$M:$M,MATCH($E27,'Raw Data Input'!$D:$D,0)),0)</f>
        <v>-5043612</v>
      </c>
      <c r="AC27" s="30">
        <f>IFERROR(INDEX('Raw Data Input'!$N:$N,MATCH($E27,'Raw Data Input'!$D:$D,0)),0)</f>
        <v>6252684</v>
      </c>
      <c r="AD27" s="30">
        <f>IFERROR(INDEX('Raw Data Input'!$O:$O,MATCH($E27,'Raw Data Input'!$D:$D,0)),0)</f>
        <v>-18642692</v>
      </c>
      <c r="AE27" s="30">
        <f>IFERROR(INDEX('Raw Data Input'!$P:$P,MATCH($E27,'Raw Data Input'!$D:$D,0)),0)</f>
        <v>5102</v>
      </c>
      <c r="AF27" s="30">
        <f>IFERROR(INDEX('Raw Data Input'!$Q:$Q,MATCH($E27,'Raw Data Input'!$D:$D,0)),0)</f>
        <v>139123457</v>
      </c>
      <c r="AG27" s="30">
        <f>IFERROR(INDEX('Raw Data Input'!$R:$R,MATCH($E27,'Raw Data Input'!$D:$D,0)),0)</f>
        <v>25437500</v>
      </c>
      <c r="AH27" s="30">
        <f>IFERROR(INDEX('Raw Data Input'!$S:$S,MATCH($E27,'Raw Data Input'!$D:$D,0)),0)</f>
        <v>190669153</v>
      </c>
      <c r="AI27" s="30">
        <f>IFERROR(INDEX('Raw Data Input'!$T:$T,MATCH($E27,'Raw Data Input'!$D:$D,0)),0)</f>
        <v>-38162743</v>
      </c>
    </row>
    <row r="28" spans="1:35" ht="15" customHeight="1" x14ac:dyDescent="0.3">
      <c r="A28" s="27" t="s">
        <v>25</v>
      </c>
      <c r="B28" s="27" t="s">
        <v>26</v>
      </c>
      <c r="C28" s="28">
        <v>2022</v>
      </c>
      <c r="D28" s="29" t="str">
        <f t="shared" si="0"/>
        <v>CPC-2022</v>
      </c>
      <c r="E28" s="29" t="str">
        <f t="shared" si="1"/>
        <v>CPC-2021</v>
      </c>
      <c r="F28" s="30">
        <f>IFERROR(INDEX('Raw Data Input'!$F:$F,MATCH($D28,'Raw Data Input'!$D:$D,0)),0)</f>
        <v>42489652</v>
      </c>
      <c r="G28" s="30">
        <f>IFERROR(INDEX('Raw Data Input'!$G:$G,MATCH($D28,'Raw Data Input'!$D:$D,0)),0)</f>
        <v>-47363968</v>
      </c>
      <c r="H28" s="30">
        <f>IFERROR(INDEX('Raw Data Input'!$H:$H,MATCH($D28,'Raw Data Input'!$D:$D,0)),0)</f>
        <v>4444260</v>
      </c>
      <c r="I28" s="30">
        <f>IFERROR(INDEX('Raw Data Input'!$I:$I,MATCH($D28,'Raw Data Input'!$D:$D,0)),0)</f>
        <v>26673821</v>
      </c>
      <c r="J28" s="30">
        <f>IFERROR(INDEX('Raw Data Input'!$J:$J,MATCH($D28,'Raw Data Input'!$D:$D,0)),0)</f>
        <v>114290527</v>
      </c>
      <c r="K28" s="30">
        <f>IFERROR(INDEX('Raw Data Input'!$K:$K,MATCH($D28,'Raw Data Input'!$D:$D,0)),0)</f>
        <v>0</v>
      </c>
      <c r="L28" s="30">
        <f>IFERROR(INDEX('Raw Data Input'!$L:$L,MATCH($D28,'Raw Data Input'!$D:$D,0)),0)</f>
        <v>140964348</v>
      </c>
      <c r="M28" s="30">
        <f>IFERROR(INDEX('Raw Data Input'!$M:$M,MATCH($D28,'Raw Data Input'!$D:$D,0)),0)</f>
        <v>-4569682</v>
      </c>
      <c r="N28" s="30">
        <f>IFERROR(INDEX('Raw Data Input'!$N:$N,MATCH($D28,'Raw Data Input'!$D:$D,0)),0)</f>
        <v>6022040</v>
      </c>
      <c r="O28" s="30">
        <f>IFERROR(INDEX('Raw Data Input'!$O:$O,MATCH($D28,'Raw Data Input'!$D:$D,0)),0)</f>
        <v>-12058964</v>
      </c>
      <c r="P28" s="30">
        <f>IFERROR(INDEX('Raw Data Input'!$P:$P,MATCH($D28,'Raw Data Input'!$D:$D,0)),0)</f>
        <v>255087</v>
      </c>
      <c r="Q28" s="30">
        <f>IFERROR(INDEX('Raw Data Input'!$Q:$Q,MATCH($D28,'Raw Data Input'!$D:$D,0)),0)</f>
        <v>96013379</v>
      </c>
      <c r="R28" s="30">
        <f>IFERROR(INDEX('Raw Data Input'!$R:$R,MATCH($D28,'Raw Data Input'!$D:$D,0)),0)</f>
        <v>1985300</v>
      </c>
      <c r="S28" s="30">
        <f>IFERROR(INDEX('Raw Data Input'!$S:$S,MATCH($D28,'Raw Data Input'!$D:$D,0)),0)</f>
        <v>118770247</v>
      </c>
      <c r="T28" s="30">
        <f>IFERROR(INDEX('Raw Data Input'!$T:$T,MATCH($D28,'Raw Data Input'!$D:$D,0)),0)</f>
        <v>22194101</v>
      </c>
      <c r="U28" s="30">
        <f>IFERROR(INDEX('Raw Data Input'!$F:$F,MATCH($E28,'Raw Data Input'!$D:$D,0)),0)</f>
        <v>41835142</v>
      </c>
      <c r="V28" s="30">
        <f>IFERROR(INDEX('Raw Data Input'!$G:$G,MATCH($E28,'Raw Data Input'!$D:$D,0)),0)</f>
        <v>-46828569</v>
      </c>
      <c r="W28" s="30">
        <f>IFERROR(INDEX('Raw Data Input'!$H:$H,MATCH($E28,'Raw Data Input'!$D:$D,0)),0)</f>
        <v>8266586</v>
      </c>
      <c r="X28" s="30">
        <f>IFERROR(INDEX('Raw Data Input'!$I:$I,MATCH($E28,'Raw Data Input'!$D:$D,0)),0)</f>
        <v>39945981</v>
      </c>
      <c r="Y28" s="30">
        <f>IFERROR(INDEX('Raw Data Input'!$J:$J,MATCH($E28,'Raw Data Input'!$D:$D,0)),0)</f>
        <v>120088574</v>
      </c>
      <c r="Z28" s="30">
        <f>IFERROR(INDEX('Raw Data Input'!$K:$K,MATCH($E28,'Raw Data Input'!$D:$D,0)),0)</f>
        <v>0</v>
      </c>
      <c r="AA28" s="30">
        <f>IFERROR(INDEX('Raw Data Input'!$L:$L,MATCH($E28,'Raw Data Input'!$D:$D,0)),0)</f>
        <v>160034555</v>
      </c>
      <c r="AB28" s="30">
        <f>IFERROR(INDEX('Raw Data Input'!$M:$M,MATCH($E28,'Raw Data Input'!$D:$D,0)),0)</f>
        <v>-4219164</v>
      </c>
      <c r="AC28" s="30">
        <f>IFERROR(INDEX('Raw Data Input'!$N:$N,MATCH($E28,'Raw Data Input'!$D:$D,0)),0)</f>
        <v>5977402</v>
      </c>
      <c r="AD28" s="30">
        <f>IFERROR(INDEX('Raw Data Input'!$O:$O,MATCH($E28,'Raw Data Input'!$D:$D,0)),0)</f>
        <v>-15088714</v>
      </c>
      <c r="AE28" s="30">
        <f>IFERROR(INDEX('Raw Data Input'!$P:$P,MATCH($E28,'Raw Data Input'!$D:$D,0)),0)</f>
        <v>5292169</v>
      </c>
      <c r="AF28" s="30">
        <f>IFERROR(INDEX('Raw Data Input'!$Q:$Q,MATCH($E28,'Raw Data Input'!$D:$D,0)),0)</f>
        <v>153096464</v>
      </c>
      <c r="AG28" s="30">
        <f>IFERROR(INDEX('Raw Data Input'!$R:$R,MATCH($E28,'Raw Data Input'!$D:$D,0)),0)</f>
        <v>33556428</v>
      </c>
      <c r="AH28" s="30">
        <f>IFERROR(INDEX('Raw Data Input'!$S:$S,MATCH($E28,'Raw Data Input'!$D:$D,0)),0)</f>
        <v>209620970</v>
      </c>
      <c r="AI28" s="30">
        <f>IFERROR(INDEX('Raw Data Input'!$T:$T,MATCH($E28,'Raw Data Input'!$D:$D,0)),0)</f>
        <v>-49586415</v>
      </c>
    </row>
    <row r="29" spans="1:35" ht="15" customHeight="1" thickBot="1" x14ac:dyDescent="0.35">
      <c r="A29" s="70" t="s">
        <v>25</v>
      </c>
      <c r="B29" s="70" t="s">
        <v>26</v>
      </c>
      <c r="C29" s="71">
        <v>2023</v>
      </c>
      <c r="D29" s="72" t="str">
        <f t="shared" si="0"/>
        <v>CPC-2023</v>
      </c>
      <c r="E29" s="72" t="str">
        <f t="shared" si="1"/>
        <v>CPC-2022</v>
      </c>
      <c r="F29" s="73">
        <f>IFERROR(INDEX('Raw Data Input'!$F:$F,MATCH($D29,'Raw Data Input'!$D:$D,0)),0)</f>
        <v>32344232</v>
      </c>
      <c r="G29" s="73">
        <f>IFERROR(INDEX('Raw Data Input'!$G:$G,MATCH($D29,'Raw Data Input'!$D:$D,0)),0)</f>
        <v>-37047181</v>
      </c>
      <c r="H29" s="73">
        <f>IFERROR(INDEX('Raw Data Input'!$H:$H,MATCH($D29,'Raw Data Input'!$D:$D,0)),0)</f>
        <v>2732688</v>
      </c>
      <c r="I29" s="73">
        <f>IFERROR(INDEX('Raw Data Input'!$I:$I,MATCH($D29,'Raw Data Input'!$D:$D,0)),0)</f>
        <v>21540050</v>
      </c>
      <c r="J29" s="73">
        <f>IFERROR(INDEX('Raw Data Input'!$J:$J,MATCH($D29,'Raw Data Input'!$D:$D,0)),0)</f>
        <v>109832309</v>
      </c>
      <c r="K29" s="73">
        <f>IFERROR(INDEX('Raw Data Input'!$K:$K,MATCH($D29,'Raw Data Input'!$D:$D,0)),0)</f>
        <v>0</v>
      </c>
      <c r="L29" s="73">
        <f>IFERROR(INDEX('Raw Data Input'!$L:$L,MATCH($D29,'Raw Data Input'!$D:$D,0)),0)</f>
        <v>131381359</v>
      </c>
      <c r="M29" s="73">
        <f>IFERROR(INDEX('Raw Data Input'!$M:$M,MATCH($D29,'Raw Data Input'!$D:$D,0)),0)</f>
        <v>-3801534</v>
      </c>
      <c r="N29" s="73">
        <f>IFERROR(INDEX('Raw Data Input'!$N:$N,MATCH($D29,'Raw Data Input'!$D:$D,0)),0)</f>
        <v>6046059</v>
      </c>
      <c r="O29" s="73">
        <f>IFERROR(INDEX('Raw Data Input'!$O:$O,MATCH($D29,'Raw Data Input'!$D:$D,0)),0)</f>
        <v>-12348109</v>
      </c>
      <c r="P29" s="73">
        <f>IFERROR(INDEX('Raw Data Input'!$P:$P,MATCH($D29,'Raw Data Input'!$D:$D,0)),0)</f>
        <v>18322197</v>
      </c>
      <c r="Q29" s="73">
        <f>IFERROR(INDEX('Raw Data Input'!$Q:$Q,MATCH($D29,'Raw Data Input'!$D:$D,0)),0)</f>
        <v>98936650</v>
      </c>
      <c r="R29" s="73">
        <f>IFERROR(INDEX('Raw Data Input'!$R:$R,MATCH($D29,'Raw Data Input'!$D:$D,0)),0)</f>
        <v>1622408</v>
      </c>
      <c r="S29" s="73">
        <f>IFERROR(INDEX('Raw Data Input'!$S:$S,MATCH($D29,'Raw Data Input'!$D:$D,0)),0)</f>
        <v>121232333</v>
      </c>
      <c r="T29" s="73">
        <f>IFERROR(INDEX('Raw Data Input'!$T:$T,MATCH($D29,'Raw Data Input'!$D:$D,0)),0)</f>
        <v>10149027</v>
      </c>
      <c r="U29" s="73">
        <f>IFERROR(INDEX('Raw Data Input'!$F:$F,MATCH($E29,'Raw Data Input'!$D:$D,0)),0)</f>
        <v>42489652</v>
      </c>
      <c r="V29" s="73">
        <f>IFERROR(INDEX('Raw Data Input'!$G:$G,MATCH($E29,'Raw Data Input'!$D:$D,0)),0)</f>
        <v>-47363968</v>
      </c>
      <c r="W29" s="73">
        <f>IFERROR(INDEX('Raw Data Input'!$H:$H,MATCH($E29,'Raw Data Input'!$D:$D,0)),0)</f>
        <v>4444260</v>
      </c>
      <c r="X29" s="73">
        <f>IFERROR(INDEX('Raw Data Input'!$I:$I,MATCH($E29,'Raw Data Input'!$D:$D,0)),0)</f>
        <v>26673821</v>
      </c>
      <c r="Y29" s="73">
        <f>IFERROR(INDEX('Raw Data Input'!$J:$J,MATCH($E29,'Raw Data Input'!$D:$D,0)),0)</f>
        <v>114290527</v>
      </c>
      <c r="Z29" s="73">
        <f>IFERROR(INDEX('Raw Data Input'!$K:$K,MATCH($E29,'Raw Data Input'!$D:$D,0)),0)</f>
        <v>0</v>
      </c>
      <c r="AA29" s="73">
        <f>IFERROR(INDEX('Raw Data Input'!$L:$L,MATCH($E29,'Raw Data Input'!$D:$D,0)),0)</f>
        <v>140964348</v>
      </c>
      <c r="AB29" s="73">
        <f>IFERROR(INDEX('Raw Data Input'!$M:$M,MATCH($E29,'Raw Data Input'!$D:$D,0)),0)</f>
        <v>-4569682</v>
      </c>
      <c r="AC29" s="73">
        <f>IFERROR(INDEX('Raw Data Input'!$N:$N,MATCH($E29,'Raw Data Input'!$D:$D,0)),0)</f>
        <v>6022040</v>
      </c>
      <c r="AD29" s="73">
        <f>IFERROR(INDEX('Raw Data Input'!$O:$O,MATCH($E29,'Raw Data Input'!$D:$D,0)),0)</f>
        <v>-12058964</v>
      </c>
      <c r="AE29" s="73">
        <f>IFERROR(INDEX('Raw Data Input'!$P:$P,MATCH($E29,'Raw Data Input'!$D:$D,0)),0)</f>
        <v>255087</v>
      </c>
      <c r="AF29" s="73">
        <f>IFERROR(INDEX('Raw Data Input'!$Q:$Q,MATCH($E29,'Raw Data Input'!$D:$D,0)),0)</f>
        <v>96013379</v>
      </c>
      <c r="AG29" s="73">
        <f>IFERROR(INDEX('Raw Data Input'!$R:$R,MATCH($E29,'Raw Data Input'!$D:$D,0)),0)</f>
        <v>1985300</v>
      </c>
      <c r="AH29" s="73">
        <f>IFERROR(INDEX('Raw Data Input'!$S:$S,MATCH($E29,'Raw Data Input'!$D:$D,0)),0)</f>
        <v>118770247</v>
      </c>
      <c r="AI29" s="73">
        <f>IFERROR(INDEX('Raw Data Input'!$T:$T,MATCH($E29,'Raw Data Input'!$D:$D,0)),0)</f>
        <v>22194101</v>
      </c>
    </row>
    <row r="30" spans="1:35" ht="15" customHeight="1" x14ac:dyDescent="0.3">
      <c r="A30" s="77" t="s">
        <v>28</v>
      </c>
      <c r="B30" s="77" t="s">
        <v>29</v>
      </c>
      <c r="C30" s="78">
        <v>2019</v>
      </c>
      <c r="D30" s="79" t="str">
        <f t="shared" si="0"/>
        <v>FML-2019</v>
      </c>
      <c r="E30" s="79" t="str">
        <f t="shared" si="1"/>
        <v>FML-2018</v>
      </c>
      <c r="F30" s="80">
        <f>IFERROR(INDEX('Raw Data Input'!$F:$F,MATCH($D30,'Raw Data Input'!$D:$D,0)),0)</f>
        <v>428486</v>
      </c>
      <c r="G30" s="80">
        <f>IFERROR(INDEX('Raw Data Input'!$G:$G,MATCH($D30,'Raw Data Input'!$D:$D,0)),0)</f>
        <v>-254210</v>
      </c>
      <c r="H30" s="80">
        <f>IFERROR(INDEX('Raw Data Input'!$H:$H,MATCH($D30,'Raw Data Input'!$D:$D,0)),0)</f>
        <v>17664</v>
      </c>
      <c r="I30" s="80">
        <f>IFERROR(INDEX('Raw Data Input'!$I:$I,MATCH($D30,'Raw Data Input'!$D:$D,0)),0)</f>
        <v>183846</v>
      </c>
      <c r="J30" s="80">
        <f>IFERROR(INDEX('Raw Data Input'!$J:$J,MATCH($D30,'Raw Data Input'!$D:$D,0)),0)</f>
        <v>187380</v>
      </c>
      <c r="K30" s="80">
        <f>IFERROR(INDEX('Raw Data Input'!$K:$K,MATCH($D30,'Raw Data Input'!$D:$D,0)),0)</f>
        <v>0</v>
      </c>
      <c r="L30" s="80">
        <f>IFERROR(INDEX('Raw Data Input'!$L:$L,MATCH($D30,'Raw Data Input'!$D:$D,0)),0)</f>
        <v>375819</v>
      </c>
      <c r="M30" s="80">
        <f>IFERROR(INDEX('Raw Data Input'!$M:$M,MATCH($D30,'Raw Data Input'!$D:$D,0)),0)</f>
        <v>50656</v>
      </c>
      <c r="N30" s="80">
        <f>IFERROR(INDEX('Raw Data Input'!$N:$N,MATCH($D30,'Raw Data Input'!$D:$D,0)),0)</f>
        <v>-3070</v>
      </c>
      <c r="O30" s="80">
        <f>IFERROR(INDEX('Raw Data Input'!$O:$O,MATCH($D30,'Raw Data Input'!$D:$D,0)),0)</f>
        <v>25016</v>
      </c>
      <c r="P30" s="80">
        <f>IFERROR(INDEX('Raw Data Input'!$P:$P,MATCH($D30,'Raw Data Input'!$D:$D,0)),0)</f>
        <v>7984</v>
      </c>
      <c r="Q30" s="80">
        <f>IFERROR(INDEX('Raw Data Input'!$Q:$Q,MATCH($D30,'Raw Data Input'!$D:$D,0)),0)</f>
        <v>101216</v>
      </c>
      <c r="R30" s="80">
        <f>IFERROR(INDEX('Raw Data Input'!$R:$R,MATCH($D30,'Raw Data Input'!$D:$D,0)),0)</f>
        <v>0</v>
      </c>
      <c r="S30" s="80">
        <f>IFERROR(INDEX('Raw Data Input'!$S:$S,MATCH($D30,'Raw Data Input'!$D:$D,0)),0)</f>
        <v>116228</v>
      </c>
      <c r="T30" s="80">
        <f>IFERROR(INDEX('Raw Data Input'!$T:$T,MATCH($D30,'Raw Data Input'!$D:$D,0)),0)</f>
        <v>259591</v>
      </c>
      <c r="U30" s="80">
        <f>IFERROR(INDEX('Raw Data Input'!$F:$F,MATCH($E30,'Raw Data Input'!$D:$D,0)),0)</f>
        <v>389507</v>
      </c>
      <c r="V30" s="80">
        <f>IFERROR(INDEX('Raw Data Input'!$G:$G,MATCH($E30,'Raw Data Input'!$D:$D,0)),0)</f>
        <v>-240731</v>
      </c>
      <c r="W30" s="80">
        <f>IFERROR(INDEX('Raw Data Input'!$H:$H,MATCH($E30,'Raw Data Input'!$D:$D,0)),0)</f>
        <v>12732</v>
      </c>
      <c r="X30" s="80">
        <f>IFERROR(INDEX('Raw Data Input'!$I:$I,MATCH($E30,'Raw Data Input'!$D:$D,0)),0)</f>
        <v>129481</v>
      </c>
      <c r="Y30" s="80">
        <f>IFERROR(INDEX('Raw Data Input'!$J:$J,MATCH($E30,'Raw Data Input'!$D:$D,0)),0)</f>
        <v>196784</v>
      </c>
      <c r="Z30" s="80">
        <f>IFERROR(INDEX('Raw Data Input'!$K:$K,MATCH($E30,'Raw Data Input'!$D:$D,0)),0)</f>
        <v>0</v>
      </c>
      <c r="AA30" s="80">
        <f>IFERROR(INDEX('Raw Data Input'!$L:$L,MATCH($E30,'Raw Data Input'!$D:$D,0)),0)</f>
        <v>326402</v>
      </c>
      <c r="AB30" s="80">
        <f>IFERROR(INDEX('Raw Data Input'!$M:$M,MATCH($E30,'Raw Data Input'!$D:$D,0)),0)</f>
        <v>73878</v>
      </c>
      <c r="AC30" s="80">
        <f>IFERROR(INDEX('Raw Data Input'!$N:$N,MATCH($E30,'Raw Data Input'!$D:$D,0)),0)</f>
        <v>-4879</v>
      </c>
      <c r="AD30" s="80">
        <f>IFERROR(INDEX('Raw Data Input'!$O:$O,MATCH($E30,'Raw Data Input'!$D:$D,0)),0)</f>
        <v>12899</v>
      </c>
      <c r="AE30" s="80">
        <f>IFERROR(INDEX('Raw Data Input'!$P:$P,MATCH($E30,'Raw Data Input'!$D:$D,0)),0)</f>
        <v>64901</v>
      </c>
      <c r="AF30" s="80">
        <f>IFERROR(INDEX('Raw Data Input'!$Q:$Q,MATCH($E30,'Raw Data Input'!$D:$D,0)),0)</f>
        <v>83247</v>
      </c>
      <c r="AG30" s="80">
        <f>IFERROR(INDEX('Raw Data Input'!$R:$R,MATCH($E30,'Raw Data Input'!$D:$D,0)),0)</f>
        <v>0</v>
      </c>
      <c r="AH30" s="80">
        <f>IFERROR(INDEX('Raw Data Input'!$S:$S,MATCH($E30,'Raw Data Input'!$D:$D,0)),0)</f>
        <v>91827</v>
      </c>
      <c r="AI30" s="80">
        <f>IFERROR(INDEX('Raw Data Input'!$T:$T,MATCH($E30,'Raw Data Input'!$D:$D,0)),0)</f>
        <v>234575</v>
      </c>
    </row>
    <row r="31" spans="1:35" ht="15" customHeight="1" x14ac:dyDescent="0.3">
      <c r="A31" s="27" t="s">
        <v>28</v>
      </c>
      <c r="B31" s="27" t="s">
        <v>29</v>
      </c>
      <c r="C31" s="28">
        <v>2020</v>
      </c>
      <c r="D31" s="29" t="str">
        <f t="shared" si="0"/>
        <v>FML-2020</v>
      </c>
      <c r="E31" s="29" t="str">
        <f t="shared" si="1"/>
        <v>FML-2019</v>
      </c>
      <c r="F31" s="30">
        <f>IFERROR(INDEX('Raw Data Input'!$F:$F,MATCH($D31,'Raw Data Input'!$D:$D,0)),0)</f>
        <v>373578</v>
      </c>
      <c r="G31" s="30">
        <f>IFERROR(INDEX('Raw Data Input'!$G:$G,MATCH($D31,'Raw Data Input'!$D:$D,0)),0)</f>
        <v>-253604</v>
      </c>
      <c r="H31" s="30">
        <f>IFERROR(INDEX('Raw Data Input'!$H:$H,MATCH($D31,'Raw Data Input'!$D:$D,0)),0)</f>
        <v>18900</v>
      </c>
      <c r="I31" s="30">
        <f>IFERROR(INDEX('Raw Data Input'!$I:$I,MATCH($D31,'Raw Data Input'!$D:$D,0)),0)</f>
        <v>253718</v>
      </c>
      <c r="J31" s="30">
        <f>IFERROR(INDEX('Raw Data Input'!$J:$J,MATCH($D31,'Raw Data Input'!$D:$D,0)),0)</f>
        <v>178315</v>
      </c>
      <c r="K31" s="30">
        <f>IFERROR(INDEX('Raw Data Input'!$K:$K,MATCH($D31,'Raw Data Input'!$D:$D,0)),0)</f>
        <v>0</v>
      </c>
      <c r="L31" s="30">
        <f>IFERROR(INDEX('Raw Data Input'!$L:$L,MATCH($D31,'Raw Data Input'!$D:$D,0)),0)</f>
        <v>436252</v>
      </c>
      <c r="M31" s="30">
        <f>IFERROR(INDEX('Raw Data Input'!$M:$M,MATCH($D31,'Raw Data Input'!$D:$D,0)),0)</f>
        <v>-32556</v>
      </c>
      <c r="N31" s="30">
        <f>IFERROR(INDEX('Raw Data Input'!$N:$N,MATCH($D31,'Raw Data Input'!$D:$D,0)),0)</f>
        <v>-3295</v>
      </c>
      <c r="O31" s="30">
        <f>IFERROR(INDEX('Raw Data Input'!$O:$O,MATCH($D31,'Raw Data Input'!$D:$D,0)),0)</f>
        <v>514</v>
      </c>
      <c r="P31" s="30">
        <f>IFERROR(INDEX('Raw Data Input'!$P:$P,MATCH($D31,'Raw Data Input'!$D:$D,0)),0)</f>
        <v>38255</v>
      </c>
      <c r="Q31" s="30">
        <f>IFERROR(INDEX('Raw Data Input'!$Q:$Q,MATCH($D31,'Raw Data Input'!$D:$D,0)),0)</f>
        <v>164681</v>
      </c>
      <c r="R31" s="30">
        <f>IFERROR(INDEX('Raw Data Input'!$R:$R,MATCH($D31,'Raw Data Input'!$D:$D,0)),0)</f>
        <v>0</v>
      </c>
      <c r="S31" s="30">
        <f>IFERROR(INDEX('Raw Data Input'!$S:$S,MATCH($D31,'Raw Data Input'!$D:$D,0)),0)</f>
        <v>176147</v>
      </c>
      <c r="T31" s="30">
        <f>IFERROR(INDEX('Raw Data Input'!$T:$T,MATCH($D31,'Raw Data Input'!$D:$D,0)),0)</f>
        <v>260105</v>
      </c>
      <c r="U31" s="30">
        <f>IFERROR(INDEX('Raw Data Input'!$F:$F,MATCH($E31,'Raw Data Input'!$D:$D,0)),0)</f>
        <v>428486</v>
      </c>
      <c r="V31" s="30">
        <f>IFERROR(INDEX('Raw Data Input'!$G:$G,MATCH($E31,'Raw Data Input'!$D:$D,0)),0)</f>
        <v>-254210</v>
      </c>
      <c r="W31" s="30">
        <f>IFERROR(INDEX('Raw Data Input'!$H:$H,MATCH($E31,'Raw Data Input'!$D:$D,0)),0)</f>
        <v>17664</v>
      </c>
      <c r="X31" s="30">
        <f>IFERROR(INDEX('Raw Data Input'!$I:$I,MATCH($E31,'Raw Data Input'!$D:$D,0)),0)</f>
        <v>183846</v>
      </c>
      <c r="Y31" s="30">
        <f>IFERROR(INDEX('Raw Data Input'!$J:$J,MATCH($E31,'Raw Data Input'!$D:$D,0)),0)</f>
        <v>187380</v>
      </c>
      <c r="Z31" s="30">
        <f>IFERROR(INDEX('Raw Data Input'!$K:$K,MATCH($E31,'Raw Data Input'!$D:$D,0)),0)</f>
        <v>0</v>
      </c>
      <c r="AA31" s="30">
        <f>IFERROR(INDEX('Raw Data Input'!$L:$L,MATCH($E31,'Raw Data Input'!$D:$D,0)),0)</f>
        <v>375819</v>
      </c>
      <c r="AB31" s="30">
        <f>IFERROR(INDEX('Raw Data Input'!$M:$M,MATCH($E31,'Raw Data Input'!$D:$D,0)),0)</f>
        <v>50656</v>
      </c>
      <c r="AC31" s="30">
        <f>IFERROR(INDEX('Raw Data Input'!$N:$N,MATCH($E31,'Raw Data Input'!$D:$D,0)),0)</f>
        <v>-3070</v>
      </c>
      <c r="AD31" s="30">
        <f>IFERROR(INDEX('Raw Data Input'!$O:$O,MATCH($E31,'Raw Data Input'!$D:$D,0)),0)</f>
        <v>25016</v>
      </c>
      <c r="AE31" s="30">
        <f>IFERROR(INDEX('Raw Data Input'!$P:$P,MATCH($E31,'Raw Data Input'!$D:$D,0)),0)</f>
        <v>7984</v>
      </c>
      <c r="AF31" s="30">
        <f>IFERROR(INDEX('Raw Data Input'!$Q:$Q,MATCH($E31,'Raw Data Input'!$D:$D,0)),0)</f>
        <v>101216</v>
      </c>
      <c r="AG31" s="30">
        <f>IFERROR(INDEX('Raw Data Input'!$R:$R,MATCH($E31,'Raw Data Input'!$D:$D,0)),0)</f>
        <v>0</v>
      </c>
      <c r="AH31" s="30">
        <f>IFERROR(INDEX('Raw Data Input'!$S:$S,MATCH($E31,'Raw Data Input'!$D:$D,0)),0)</f>
        <v>116228</v>
      </c>
      <c r="AI31" s="30">
        <f>IFERROR(INDEX('Raw Data Input'!$T:$T,MATCH($E31,'Raw Data Input'!$D:$D,0)),0)</f>
        <v>259591</v>
      </c>
    </row>
    <row r="32" spans="1:35" ht="15" customHeight="1" x14ac:dyDescent="0.3">
      <c r="A32" s="27" t="s">
        <v>28</v>
      </c>
      <c r="B32" s="27" t="s">
        <v>29</v>
      </c>
      <c r="C32" s="28">
        <v>2021</v>
      </c>
      <c r="D32" s="29" t="str">
        <f t="shared" si="0"/>
        <v>FML-2021</v>
      </c>
      <c r="E32" s="29" t="str">
        <f t="shared" si="1"/>
        <v>FML-2020</v>
      </c>
      <c r="F32" s="30">
        <f>IFERROR(INDEX('Raw Data Input'!$F:$F,MATCH($D32,'Raw Data Input'!$D:$D,0)),0)</f>
        <v>468095</v>
      </c>
      <c r="G32" s="30">
        <f>IFERROR(INDEX('Raw Data Input'!$G:$G,MATCH($D32,'Raw Data Input'!$D:$D,0)),0)</f>
        <v>-344818</v>
      </c>
      <c r="H32" s="30">
        <f>IFERROR(INDEX('Raw Data Input'!$H:$H,MATCH($D32,'Raw Data Input'!$D:$D,0)),0)</f>
        <v>28246</v>
      </c>
      <c r="I32" s="30">
        <f>IFERROR(INDEX('Raw Data Input'!$I:$I,MATCH($D32,'Raw Data Input'!$D:$D,0)),0)</f>
        <v>374489</v>
      </c>
      <c r="J32" s="30">
        <f>IFERROR(INDEX('Raw Data Input'!$J:$J,MATCH($D32,'Raw Data Input'!$D:$D,0)),0)</f>
        <v>191404</v>
      </c>
      <c r="K32" s="30">
        <f>IFERROR(INDEX('Raw Data Input'!$K:$K,MATCH($D32,'Raw Data Input'!$D:$D,0)),0)</f>
        <v>0</v>
      </c>
      <c r="L32" s="30">
        <f>IFERROR(INDEX('Raw Data Input'!$L:$L,MATCH($D32,'Raw Data Input'!$D:$D,0)),0)</f>
        <v>571562</v>
      </c>
      <c r="M32" s="30">
        <f>IFERROR(INDEX('Raw Data Input'!$M:$M,MATCH($D32,'Raw Data Input'!$D:$D,0)),0)</f>
        <v>-47807</v>
      </c>
      <c r="N32" s="30">
        <f>IFERROR(INDEX('Raw Data Input'!$N:$N,MATCH($D32,'Raw Data Input'!$D:$D,0)),0)</f>
        <v>-24069</v>
      </c>
      <c r="O32" s="30">
        <f>IFERROR(INDEX('Raw Data Input'!$O:$O,MATCH($D32,'Raw Data Input'!$D:$D,0)),0)</f>
        <v>-13430</v>
      </c>
      <c r="P32" s="30">
        <f>IFERROR(INDEX('Raw Data Input'!$P:$P,MATCH($D32,'Raw Data Input'!$D:$D,0)),0)</f>
        <v>13421</v>
      </c>
      <c r="Q32" s="30">
        <f>IFERROR(INDEX('Raw Data Input'!$Q:$Q,MATCH($D32,'Raw Data Input'!$D:$D,0)),0)</f>
        <v>279274</v>
      </c>
      <c r="R32" s="30">
        <f>IFERROR(INDEX('Raw Data Input'!$R:$R,MATCH($D32,'Raw Data Input'!$D:$D,0)),0)</f>
        <v>40000</v>
      </c>
      <c r="S32" s="30">
        <f>IFERROR(INDEX('Raw Data Input'!$S:$S,MATCH($D32,'Raw Data Input'!$D:$D,0)),0)</f>
        <v>324887</v>
      </c>
      <c r="T32" s="30">
        <f>IFERROR(INDEX('Raw Data Input'!$T:$T,MATCH($D32,'Raw Data Input'!$D:$D,0)),0)</f>
        <v>246675</v>
      </c>
      <c r="U32" s="30">
        <f>IFERROR(INDEX('Raw Data Input'!$F:$F,MATCH($E32,'Raw Data Input'!$D:$D,0)),0)</f>
        <v>373578</v>
      </c>
      <c r="V32" s="30">
        <f>IFERROR(INDEX('Raw Data Input'!$G:$G,MATCH($E32,'Raw Data Input'!$D:$D,0)),0)</f>
        <v>-253604</v>
      </c>
      <c r="W32" s="30">
        <f>IFERROR(INDEX('Raw Data Input'!$H:$H,MATCH($E32,'Raw Data Input'!$D:$D,0)),0)</f>
        <v>18900</v>
      </c>
      <c r="X32" s="30">
        <f>IFERROR(INDEX('Raw Data Input'!$I:$I,MATCH($E32,'Raw Data Input'!$D:$D,0)),0)</f>
        <v>253718</v>
      </c>
      <c r="Y32" s="30">
        <f>IFERROR(INDEX('Raw Data Input'!$J:$J,MATCH($E32,'Raw Data Input'!$D:$D,0)),0)</f>
        <v>178315</v>
      </c>
      <c r="Z32" s="30">
        <f>IFERROR(INDEX('Raw Data Input'!$K:$K,MATCH($E32,'Raw Data Input'!$D:$D,0)),0)</f>
        <v>0</v>
      </c>
      <c r="AA32" s="30">
        <f>IFERROR(INDEX('Raw Data Input'!$L:$L,MATCH($E32,'Raw Data Input'!$D:$D,0)),0)</f>
        <v>436252</v>
      </c>
      <c r="AB32" s="30">
        <f>IFERROR(INDEX('Raw Data Input'!$M:$M,MATCH($E32,'Raw Data Input'!$D:$D,0)),0)</f>
        <v>-32556</v>
      </c>
      <c r="AC32" s="30">
        <f>IFERROR(INDEX('Raw Data Input'!$N:$N,MATCH($E32,'Raw Data Input'!$D:$D,0)),0)</f>
        <v>-3295</v>
      </c>
      <c r="AD32" s="30">
        <f>IFERROR(INDEX('Raw Data Input'!$O:$O,MATCH($E32,'Raw Data Input'!$D:$D,0)),0)</f>
        <v>514</v>
      </c>
      <c r="AE32" s="30">
        <f>IFERROR(INDEX('Raw Data Input'!$P:$P,MATCH($E32,'Raw Data Input'!$D:$D,0)),0)</f>
        <v>38255</v>
      </c>
      <c r="AF32" s="30">
        <f>IFERROR(INDEX('Raw Data Input'!$Q:$Q,MATCH($E32,'Raw Data Input'!$D:$D,0)),0)</f>
        <v>164681</v>
      </c>
      <c r="AG32" s="30">
        <f>IFERROR(INDEX('Raw Data Input'!$R:$R,MATCH($E32,'Raw Data Input'!$D:$D,0)),0)</f>
        <v>0</v>
      </c>
      <c r="AH32" s="30">
        <f>IFERROR(INDEX('Raw Data Input'!$S:$S,MATCH($E32,'Raw Data Input'!$D:$D,0)),0)</f>
        <v>176147</v>
      </c>
      <c r="AI32" s="30">
        <f>IFERROR(INDEX('Raw Data Input'!$T:$T,MATCH($E32,'Raw Data Input'!$D:$D,0)),0)</f>
        <v>260105</v>
      </c>
    </row>
    <row r="33" spans="1:35" ht="15" customHeight="1" x14ac:dyDescent="0.3">
      <c r="A33" s="27" t="s">
        <v>28</v>
      </c>
      <c r="B33" s="27" t="s">
        <v>29</v>
      </c>
      <c r="C33" s="28">
        <v>2022</v>
      </c>
      <c r="D33" s="29" t="str">
        <f t="shared" si="0"/>
        <v>FML-2022</v>
      </c>
      <c r="E33" s="29" t="str">
        <f t="shared" si="1"/>
        <v>FML-2021</v>
      </c>
      <c r="F33" s="30">
        <f>IFERROR(INDEX('Raw Data Input'!$F:$F,MATCH($D33,'Raw Data Input'!$D:$D,0)),0)</f>
        <v>536938</v>
      </c>
      <c r="G33" s="30">
        <f>IFERROR(INDEX('Raw Data Input'!$G:$G,MATCH($D33,'Raw Data Input'!$D:$D,0)),0)</f>
        <v>-421066</v>
      </c>
      <c r="H33" s="30">
        <f>IFERROR(INDEX('Raw Data Input'!$H:$H,MATCH($D33,'Raw Data Input'!$D:$D,0)),0)</f>
        <v>55148</v>
      </c>
      <c r="I33" s="30">
        <f>IFERROR(INDEX('Raw Data Input'!$I:$I,MATCH($D33,'Raw Data Input'!$D:$D,0)),0)</f>
        <v>393178</v>
      </c>
      <c r="J33" s="30">
        <f>IFERROR(INDEX('Raw Data Input'!$J:$J,MATCH($D33,'Raw Data Input'!$D:$D,0)),0)</f>
        <v>174095</v>
      </c>
      <c r="K33" s="30">
        <f>IFERROR(INDEX('Raw Data Input'!$K:$K,MATCH($D33,'Raw Data Input'!$D:$D,0)),0)</f>
        <v>0</v>
      </c>
      <c r="L33" s="30">
        <f>IFERROR(INDEX('Raw Data Input'!$L:$L,MATCH($D33,'Raw Data Input'!$D:$D,0)),0)</f>
        <v>584060</v>
      </c>
      <c r="M33" s="30">
        <f>IFERROR(INDEX('Raw Data Input'!$M:$M,MATCH($D33,'Raw Data Input'!$D:$D,0)),0)</f>
        <v>-51290</v>
      </c>
      <c r="N33" s="30">
        <f>IFERROR(INDEX('Raw Data Input'!$N:$N,MATCH($D33,'Raw Data Input'!$D:$D,0)),0)</f>
        <v>-2612</v>
      </c>
      <c r="O33" s="30">
        <f>IFERROR(INDEX('Raw Data Input'!$O:$O,MATCH($D33,'Raw Data Input'!$D:$D,0)),0)</f>
        <v>-41596</v>
      </c>
      <c r="P33" s="30">
        <f>IFERROR(INDEX('Raw Data Input'!$P:$P,MATCH($D33,'Raw Data Input'!$D:$D,0)),0)</f>
        <v>-21838</v>
      </c>
      <c r="Q33" s="30">
        <f>IFERROR(INDEX('Raw Data Input'!$Q:$Q,MATCH($D33,'Raw Data Input'!$D:$D,0)),0)</f>
        <v>302689</v>
      </c>
      <c r="R33" s="30">
        <f>IFERROR(INDEX('Raw Data Input'!$R:$R,MATCH($D33,'Raw Data Input'!$D:$D,0)),0)</f>
        <v>70000</v>
      </c>
      <c r="S33" s="30">
        <f>IFERROR(INDEX('Raw Data Input'!$S:$S,MATCH($D33,'Raw Data Input'!$D:$D,0)),0)</f>
        <v>378981</v>
      </c>
      <c r="T33" s="30">
        <f>IFERROR(INDEX('Raw Data Input'!$T:$T,MATCH($D33,'Raw Data Input'!$D:$D,0)),0)</f>
        <v>205079</v>
      </c>
      <c r="U33" s="30">
        <f>IFERROR(INDEX('Raw Data Input'!$F:$F,MATCH($E33,'Raw Data Input'!$D:$D,0)),0)</f>
        <v>468095</v>
      </c>
      <c r="V33" s="30">
        <f>IFERROR(INDEX('Raw Data Input'!$G:$G,MATCH($E33,'Raw Data Input'!$D:$D,0)),0)</f>
        <v>-344818</v>
      </c>
      <c r="W33" s="30">
        <f>IFERROR(INDEX('Raw Data Input'!$H:$H,MATCH($E33,'Raw Data Input'!$D:$D,0)),0)</f>
        <v>28246</v>
      </c>
      <c r="X33" s="30">
        <f>IFERROR(INDEX('Raw Data Input'!$I:$I,MATCH($E33,'Raw Data Input'!$D:$D,0)),0)</f>
        <v>374489</v>
      </c>
      <c r="Y33" s="30">
        <f>IFERROR(INDEX('Raw Data Input'!$J:$J,MATCH($E33,'Raw Data Input'!$D:$D,0)),0)</f>
        <v>191404</v>
      </c>
      <c r="Z33" s="30">
        <f>IFERROR(INDEX('Raw Data Input'!$K:$K,MATCH($E33,'Raw Data Input'!$D:$D,0)),0)</f>
        <v>0</v>
      </c>
      <c r="AA33" s="30">
        <f>IFERROR(INDEX('Raw Data Input'!$L:$L,MATCH($E33,'Raw Data Input'!$D:$D,0)),0)</f>
        <v>571562</v>
      </c>
      <c r="AB33" s="30">
        <f>IFERROR(INDEX('Raw Data Input'!$M:$M,MATCH($E33,'Raw Data Input'!$D:$D,0)),0)</f>
        <v>-47807</v>
      </c>
      <c r="AC33" s="30">
        <f>IFERROR(INDEX('Raw Data Input'!$N:$N,MATCH($E33,'Raw Data Input'!$D:$D,0)),0)</f>
        <v>-24069</v>
      </c>
      <c r="AD33" s="30">
        <f>IFERROR(INDEX('Raw Data Input'!$O:$O,MATCH($E33,'Raw Data Input'!$D:$D,0)),0)</f>
        <v>-13430</v>
      </c>
      <c r="AE33" s="30">
        <f>IFERROR(INDEX('Raw Data Input'!$P:$P,MATCH($E33,'Raw Data Input'!$D:$D,0)),0)</f>
        <v>13421</v>
      </c>
      <c r="AF33" s="30">
        <f>IFERROR(INDEX('Raw Data Input'!$Q:$Q,MATCH($E33,'Raw Data Input'!$D:$D,0)),0)</f>
        <v>279274</v>
      </c>
      <c r="AG33" s="30">
        <f>IFERROR(INDEX('Raw Data Input'!$R:$R,MATCH($E33,'Raw Data Input'!$D:$D,0)),0)</f>
        <v>40000</v>
      </c>
      <c r="AH33" s="30">
        <f>IFERROR(INDEX('Raw Data Input'!$S:$S,MATCH($E33,'Raw Data Input'!$D:$D,0)),0)</f>
        <v>324887</v>
      </c>
      <c r="AI33" s="30">
        <f>IFERROR(INDEX('Raw Data Input'!$T:$T,MATCH($E33,'Raw Data Input'!$D:$D,0)),0)</f>
        <v>246675</v>
      </c>
    </row>
    <row r="34" spans="1:35" ht="15" customHeight="1" thickBot="1" x14ac:dyDescent="0.35">
      <c r="A34" s="81" t="s">
        <v>28</v>
      </c>
      <c r="B34" s="81" t="s">
        <v>29</v>
      </c>
      <c r="C34" s="82">
        <v>2023</v>
      </c>
      <c r="D34" s="83" t="str">
        <f t="shared" si="0"/>
        <v>FML-2023</v>
      </c>
      <c r="E34" s="83" t="str">
        <f t="shared" si="1"/>
        <v>FML-2022</v>
      </c>
      <c r="F34" s="84">
        <f>IFERROR(INDEX('Raw Data Input'!$F:$F,MATCH($D34,'Raw Data Input'!$D:$D,0)),0)</f>
        <v>549916</v>
      </c>
      <c r="G34" s="84">
        <f>IFERROR(INDEX('Raw Data Input'!$G:$G,MATCH($D34,'Raw Data Input'!$D:$D,0)),0)</f>
        <v>-378144</v>
      </c>
      <c r="H34" s="84">
        <f>IFERROR(INDEX('Raw Data Input'!$H:$H,MATCH($D34,'Raw Data Input'!$D:$D,0)),0)</f>
        <v>52735</v>
      </c>
      <c r="I34" s="84">
        <f>IFERROR(INDEX('Raw Data Input'!$I:$I,MATCH($D34,'Raw Data Input'!$D:$D,0)),0)</f>
        <v>422679</v>
      </c>
      <c r="J34" s="84">
        <f>IFERROR(INDEX('Raw Data Input'!$J:$J,MATCH($D34,'Raw Data Input'!$D:$D,0)),0)</f>
        <v>153112</v>
      </c>
      <c r="K34" s="84">
        <f>IFERROR(INDEX('Raw Data Input'!$K:$K,MATCH($D34,'Raw Data Input'!$D:$D,0)),0)</f>
        <v>0</v>
      </c>
      <c r="L34" s="84">
        <f>IFERROR(INDEX('Raw Data Input'!$L:$L,MATCH($D34,'Raw Data Input'!$D:$D,0)),0)</f>
        <v>590250</v>
      </c>
      <c r="M34" s="84">
        <f>IFERROR(INDEX('Raw Data Input'!$M:$M,MATCH($D34,'Raw Data Input'!$D:$D,0)),0)</f>
        <v>-37216</v>
      </c>
      <c r="N34" s="84">
        <f>IFERROR(INDEX('Raw Data Input'!$N:$N,MATCH($D34,'Raw Data Input'!$D:$D,0)),0)</f>
        <v>-13529</v>
      </c>
      <c r="O34" s="84">
        <f>IFERROR(INDEX('Raw Data Input'!$O:$O,MATCH($D34,'Raw Data Input'!$D:$D,0)),0)</f>
        <v>24012</v>
      </c>
      <c r="P34" s="84">
        <f>IFERROR(INDEX('Raw Data Input'!$P:$P,MATCH($D34,'Raw Data Input'!$D:$D,0)),0)</f>
        <v>27215</v>
      </c>
      <c r="Q34" s="84">
        <f>IFERROR(INDEX('Raw Data Input'!$Q:$Q,MATCH($D34,'Raw Data Input'!$D:$D,0)),0)</f>
        <v>300645</v>
      </c>
      <c r="R34" s="84">
        <f>IFERROR(INDEX('Raw Data Input'!$R:$R,MATCH($D34,'Raw Data Input'!$D:$D,0)),0)</f>
        <v>55000</v>
      </c>
      <c r="S34" s="84">
        <f>IFERROR(INDEX('Raw Data Input'!$S:$S,MATCH($D34,'Raw Data Input'!$D:$D,0)),0)</f>
        <v>361159</v>
      </c>
      <c r="T34" s="84">
        <f>IFERROR(INDEX('Raw Data Input'!$T:$T,MATCH($D34,'Raw Data Input'!$D:$D,0)),0)</f>
        <v>229091</v>
      </c>
      <c r="U34" s="84">
        <f>IFERROR(INDEX('Raw Data Input'!$F:$F,MATCH($E34,'Raw Data Input'!$D:$D,0)),0)</f>
        <v>536938</v>
      </c>
      <c r="V34" s="84">
        <f>IFERROR(INDEX('Raw Data Input'!$G:$G,MATCH($E34,'Raw Data Input'!$D:$D,0)),0)</f>
        <v>-421066</v>
      </c>
      <c r="W34" s="84">
        <f>IFERROR(INDEX('Raw Data Input'!$H:$H,MATCH($E34,'Raw Data Input'!$D:$D,0)),0)</f>
        <v>55148</v>
      </c>
      <c r="X34" s="84">
        <f>IFERROR(INDEX('Raw Data Input'!$I:$I,MATCH($E34,'Raw Data Input'!$D:$D,0)),0)</f>
        <v>393178</v>
      </c>
      <c r="Y34" s="84">
        <f>IFERROR(INDEX('Raw Data Input'!$J:$J,MATCH($E34,'Raw Data Input'!$D:$D,0)),0)</f>
        <v>174095</v>
      </c>
      <c r="Z34" s="84">
        <f>IFERROR(INDEX('Raw Data Input'!$K:$K,MATCH($E34,'Raw Data Input'!$D:$D,0)),0)</f>
        <v>0</v>
      </c>
      <c r="AA34" s="84">
        <f>IFERROR(INDEX('Raw Data Input'!$L:$L,MATCH($E34,'Raw Data Input'!$D:$D,0)),0)</f>
        <v>584060</v>
      </c>
      <c r="AB34" s="84">
        <f>IFERROR(INDEX('Raw Data Input'!$M:$M,MATCH($E34,'Raw Data Input'!$D:$D,0)),0)</f>
        <v>-51290</v>
      </c>
      <c r="AC34" s="84">
        <f>IFERROR(INDEX('Raw Data Input'!$N:$N,MATCH($E34,'Raw Data Input'!$D:$D,0)),0)</f>
        <v>-2612</v>
      </c>
      <c r="AD34" s="84">
        <f>IFERROR(INDEX('Raw Data Input'!$O:$O,MATCH($E34,'Raw Data Input'!$D:$D,0)),0)</f>
        <v>-41596</v>
      </c>
      <c r="AE34" s="84">
        <f>IFERROR(INDEX('Raw Data Input'!$P:$P,MATCH($E34,'Raw Data Input'!$D:$D,0)),0)</f>
        <v>-21838</v>
      </c>
      <c r="AF34" s="84">
        <f>IFERROR(INDEX('Raw Data Input'!$Q:$Q,MATCH($E34,'Raw Data Input'!$D:$D,0)),0)</f>
        <v>302689</v>
      </c>
      <c r="AG34" s="84">
        <f>IFERROR(INDEX('Raw Data Input'!$R:$R,MATCH($E34,'Raw Data Input'!$D:$D,0)),0)</f>
        <v>70000</v>
      </c>
      <c r="AH34" s="84">
        <f>IFERROR(INDEX('Raw Data Input'!$S:$S,MATCH($E34,'Raw Data Input'!$D:$D,0)),0)</f>
        <v>378981</v>
      </c>
      <c r="AI34" s="84">
        <f>IFERROR(INDEX('Raw Data Input'!$T:$T,MATCH($E34,'Raw Data Input'!$D:$D,0)),0)</f>
        <v>205079</v>
      </c>
    </row>
    <row r="35" spans="1:35" ht="15" customHeight="1" x14ac:dyDescent="0.3">
      <c r="A35" s="85" t="s">
        <v>30</v>
      </c>
      <c r="B35" s="85" t="s">
        <v>31</v>
      </c>
      <c r="C35" s="86">
        <v>2019</v>
      </c>
      <c r="D35" s="87" t="str">
        <f t="shared" si="0"/>
        <v>GGBL-2019</v>
      </c>
      <c r="E35" s="87" t="str">
        <f t="shared" si="1"/>
        <v>GGBL-2018</v>
      </c>
      <c r="F35" s="88">
        <f>IFERROR(INDEX('Raw Data Input'!$F:$F,MATCH($D35,'Raw Data Input'!$D:$D,0)),0)</f>
        <v>684979</v>
      </c>
      <c r="G35" s="88">
        <f>IFERROR(INDEX('Raw Data Input'!$G:$G,MATCH($D35,'Raw Data Input'!$D:$D,0)),0)</f>
        <v>-511023</v>
      </c>
      <c r="H35" s="88">
        <f>IFERROR(INDEX('Raw Data Input'!$H:$H,MATCH($D35,'Raw Data Input'!$D:$D,0)),0)</f>
        <v>42637</v>
      </c>
      <c r="I35" s="88">
        <f>IFERROR(INDEX('Raw Data Input'!$I:$I,MATCH($D35,'Raw Data Input'!$D:$D,0)),0)</f>
        <v>237097</v>
      </c>
      <c r="J35" s="88">
        <f>IFERROR(INDEX('Raw Data Input'!$J:$J,MATCH($D35,'Raw Data Input'!$D:$D,0)),0)</f>
        <v>418655</v>
      </c>
      <c r="K35" s="88">
        <f>IFERROR(INDEX('Raw Data Input'!$K:$K,MATCH($D35,'Raw Data Input'!$D:$D,0)),0)</f>
        <v>0</v>
      </c>
      <c r="L35" s="88">
        <f>IFERROR(INDEX('Raw Data Input'!$L:$L,MATCH($D35,'Raw Data Input'!$D:$D,0)),0)</f>
        <v>658468</v>
      </c>
      <c r="M35" s="88">
        <f>IFERROR(INDEX('Raw Data Input'!$M:$M,MATCH($D35,'Raw Data Input'!$D:$D,0)),0)</f>
        <v>-93348</v>
      </c>
      <c r="N35" s="88">
        <f>IFERROR(INDEX('Raw Data Input'!$N:$N,MATCH($D35,'Raw Data Input'!$D:$D,0)),0)</f>
        <v>57293</v>
      </c>
      <c r="O35" s="88">
        <f>IFERROR(INDEX('Raw Data Input'!$O:$O,MATCH($D35,'Raw Data Input'!$D:$D,0)),0)</f>
        <v>18046</v>
      </c>
      <c r="P35" s="88">
        <f>IFERROR(INDEX('Raw Data Input'!$P:$P,MATCH($D35,'Raw Data Input'!$D:$D,0)),0)</f>
        <v>78030</v>
      </c>
      <c r="Q35" s="88">
        <f>IFERROR(INDEX('Raw Data Input'!$Q:$Q,MATCH($D35,'Raw Data Input'!$D:$D,0)),0)</f>
        <v>210295</v>
      </c>
      <c r="R35" s="88">
        <f>IFERROR(INDEX('Raw Data Input'!$R:$R,MATCH($D35,'Raw Data Input'!$D:$D,0)),0)</f>
        <v>109313</v>
      </c>
      <c r="S35" s="88">
        <f>IFERROR(INDEX('Raw Data Input'!$S:$S,MATCH($D35,'Raw Data Input'!$D:$D,0)),0)</f>
        <v>357309</v>
      </c>
      <c r="T35" s="88">
        <f>IFERROR(INDEX('Raw Data Input'!$T:$T,MATCH($D35,'Raw Data Input'!$D:$D,0)),0)</f>
        <v>301159</v>
      </c>
      <c r="U35" s="88">
        <f>IFERROR(INDEX('Raw Data Input'!$F:$F,MATCH($E35,'Raw Data Input'!$D:$D,0)),0)</f>
        <v>623102</v>
      </c>
      <c r="V35" s="88">
        <f>IFERROR(INDEX('Raw Data Input'!$G:$G,MATCH($E35,'Raw Data Input'!$D:$D,0)),0)</f>
        <v>-464781</v>
      </c>
      <c r="W35" s="88">
        <f>IFERROR(INDEX('Raw Data Input'!$H:$H,MATCH($E35,'Raw Data Input'!$D:$D,0)),0)</f>
        <v>30822</v>
      </c>
      <c r="X35" s="88">
        <f>IFERROR(INDEX('Raw Data Input'!$I:$I,MATCH($E35,'Raw Data Input'!$D:$D,0)),0)</f>
        <v>190864</v>
      </c>
      <c r="Y35" s="88">
        <f>IFERROR(INDEX('Raw Data Input'!$J:$J,MATCH($E35,'Raw Data Input'!$D:$D,0)),0)</f>
        <v>373208</v>
      </c>
      <c r="Z35" s="88">
        <f>IFERROR(INDEX('Raw Data Input'!$K:$K,MATCH($E35,'Raw Data Input'!$D:$D,0)),0)</f>
        <v>0</v>
      </c>
      <c r="AA35" s="88">
        <f>IFERROR(INDEX('Raw Data Input'!$L:$L,MATCH($E35,'Raw Data Input'!$D:$D,0)),0)</f>
        <v>567188</v>
      </c>
      <c r="AB35" s="88">
        <f>IFERROR(INDEX('Raw Data Input'!$M:$M,MATCH($E35,'Raw Data Input'!$D:$D,0)),0)</f>
        <v>-76491</v>
      </c>
      <c r="AC35" s="88">
        <f>IFERROR(INDEX('Raw Data Input'!$N:$N,MATCH($E35,'Raw Data Input'!$D:$D,0)),0)</f>
        <v>59297</v>
      </c>
      <c r="AD35" s="88">
        <f>IFERROR(INDEX('Raw Data Input'!$O:$O,MATCH($E35,'Raw Data Input'!$D:$D,0)),0)</f>
        <v>23855</v>
      </c>
      <c r="AE35" s="88">
        <f>IFERROR(INDEX('Raw Data Input'!$P:$P,MATCH($E35,'Raw Data Input'!$D:$D,0)),0)</f>
        <v>78962</v>
      </c>
      <c r="AF35" s="88">
        <f>IFERROR(INDEX('Raw Data Input'!$Q:$Q,MATCH($E35,'Raw Data Input'!$D:$D,0)),0)</f>
        <v>127721</v>
      </c>
      <c r="AG35" s="88">
        <f>IFERROR(INDEX('Raw Data Input'!$R:$R,MATCH($E35,'Raw Data Input'!$D:$D,0)),0)</f>
        <v>108991</v>
      </c>
      <c r="AH35" s="88">
        <f>IFERROR(INDEX('Raw Data Input'!$S:$S,MATCH($E35,'Raw Data Input'!$D:$D,0)),0)</f>
        <v>272547</v>
      </c>
      <c r="AI35" s="88">
        <f>IFERROR(INDEX('Raw Data Input'!$T:$T,MATCH($E35,'Raw Data Input'!$D:$D,0)),0)</f>
        <v>294641</v>
      </c>
    </row>
    <row r="36" spans="1:35" ht="15" customHeight="1" x14ac:dyDescent="0.3">
      <c r="A36" s="27" t="s">
        <v>30</v>
      </c>
      <c r="B36" s="27" t="s">
        <v>31</v>
      </c>
      <c r="C36" s="28">
        <v>2020</v>
      </c>
      <c r="D36" s="29" t="str">
        <f t="shared" si="0"/>
        <v>GGBL-2020</v>
      </c>
      <c r="E36" s="29" t="str">
        <f t="shared" si="1"/>
        <v>GGBL-2019</v>
      </c>
      <c r="F36" s="30">
        <f>IFERROR(INDEX('Raw Data Input'!$F:$F,MATCH($D36,'Raw Data Input'!$D:$D,0)),0)</f>
        <v>732588</v>
      </c>
      <c r="G36" s="30">
        <f>IFERROR(INDEX('Raw Data Input'!$G:$G,MATCH($D36,'Raw Data Input'!$D:$D,0)),0)</f>
        <v>-544759</v>
      </c>
      <c r="H36" s="30">
        <f>IFERROR(INDEX('Raw Data Input'!$H:$H,MATCH($D36,'Raw Data Input'!$D:$D,0)),0)</f>
        <v>25237</v>
      </c>
      <c r="I36" s="30">
        <f>IFERROR(INDEX('Raw Data Input'!$I:$I,MATCH($D36,'Raw Data Input'!$D:$D,0)),0)</f>
        <v>195224</v>
      </c>
      <c r="J36" s="30">
        <f>IFERROR(INDEX('Raw Data Input'!$J:$J,MATCH($D36,'Raw Data Input'!$D:$D,0)),0)</f>
        <v>476247</v>
      </c>
      <c r="K36" s="30">
        <f>IFERROR(INDEX('Raw Data Input'!$K:$K,MATCH($D36,'Raw Data Input'!$D:$D,0)),0)</f>
        <v>0</v>
      </c>
      <c r="L36" s="30">
        <f>IFERROR(INDEX('Raw Data Input'!$L:$L,MATCH($D36,'Raw Data Input'!$D:$D,0)),0)</f>
        <v>720723</v>
      </c>
      <c r="M36" s="30">
        <f>IFERROR(INDEX('Raw Data Input'!$M:$M,MATCH($D36,'Raw Data Input'!$D:$D,0)),0)</f>
        <v>-89023</v>
      </c>
      <c r="N36" s="30">
        <f>IFERROR(INDEX('Raw Data Input'!$N:$N,MATCH($D36,'Raw Data Input'!$D:$D,0)),0)</f>
        <v>57293</v>
      </c>
      <c r="O36" s="30">
        <f>IFERROR(INDEX('Raw Data Input'!$O:$O,MATCH($D36,'Raw Data Input'!$D:$D,0)),0)</f>
        <v>12157</v>
      </c>
      <c r="P36" s="30">
        <f>IFERROR(INDEX('Raw Data Input'!$P:$P,MATCH($D36,'Raw Data Input'!$D:$D,0)),0)</f>
        <v>125503</v>
      </c>
      <c r="Q36" s="30">
        <f>IFERROR(INDEX('Raw Data Input'!$Q:$Q,MATCH($D36,'Raw Data Input'!$D:$D,0)),0)</f>
        <v>244392</v>
      </c>
      <c r="R36" s="30">
        <f>IFERROR(INDEX('Raw Data Input'!$R:$R,MATCH($D36,'Raw Data Input'!$D:$D,0)),0)</f>
        <v>109253</v>
      </c>
      <c r="S36" s="30">
        <f>IFERROR(INDEX('Raw Data Input'!$S:$S,MATCH($D36,'Raw Data Input'!$D:$D,0)),0)</f>
        <v>416085</v>
      </c>
      <c r="T36" s="30">
        <f>IFERROR(INDEX('Raw Data Input'!$T:$T,MATCH($D36,'Raw Data Input'!$D:$D,0)),0)</f>
        <v>304638</v>
      </c>
      <c r="U36" s="30">
        <f>IFERROR(INDEX('Raw Data Input'!$F:$F,MATCH($E36,'Raw Data Input'!$D:$D,0)),0)</f>
        <v>684979</v>
      </c>
      <c r="V36" s="30">
        <f>IFERROR(INDEX('Raw Data Input'!$G:$G,MATCH($E36,'Raw Data Input'!$D:$D,0)),0)</f>
        <v>-511023</v>
      </c>
      <c r="W36" s="30">
        <f>IFERROR(INDEX('Raw Data Input'!$H:$H,MATCH($E36,'Raw Data Input'!$D:$D,0)),0)</f>
        <v>42637</v>
      </c>
      <c r="X36" s="30">
        <f>IFERROR(INDEX('Raw Data Input'!$I:$I,MATCH($E36,'Raw Data Input'!$D:$D,0)),0)</f>
        <v>237097</v>
      </c>
      <c r="Y36" s="30">
        <f>IFERROR(INDEX('Raw Data Input'!$J:$J,MATCH($E36,'Raw Data Input'!$D:$D,0)),0)</f>
        <v>418655</v>
      </c>
      <c r="Z36" s="30">
        <f>IFERROR(INDEX('Raw Data Input'!$K:$K,MATCH($E36,'Raw Data Input'!$D:$D,0)),0)</f>
        <v>0</v>
      </c>
      <c r="AA36" s="30">
        <f>IFERROR(INDEX('Raw Data Input'!$L:$L,MATCH($E36,'Raw Data Input'!$D:$D,0)),0)</f>
        <v>658468</v>
      </c>
      <c r="AB36" s="30">
        <f>IFERROR(INDEX('Raw Data Input'!$M:$M,MATCH($E36,'Raw Data Input'!$D:$D,0)),0)</f>
        <v>-93348</v>
      </c>
      <c r="AC36" s="30">
        <f>IFERROR(INDEX('Raw Data Input'!$N:$N,MATCH($E36,'Raw Data Input'!$D:$D,0)),0)</f>
        <v>57293</v>
      </c>
      <c r="AD36" s="30">
        <f>IFERROR(INDEX('Raw Data Input'!$O:$O,MATCH($E36,'Raw Data Input'!$D:$D,0)),0)</f>
        <v>18046</v>
      </c>
      <c r="AE36" s="30">
        <f>IFERROR(INDEX('Raw Data Input'!$P:$P,MATCH($E36,'Raw Data Input'!$D:$D,0)),0)</f>
        <v>78030</v>
      </c>
      <c r="AF36" s="30">
        <f>IFERROR(INDEX('Raw Data Input'!$Q:$Q,MATCH($E36,'Raw Data Input'!$D:$D,0)),0)</f>
        <v>210295</v>
      </c>
      <c r="AG36" s="30">
        <f>IFERROR(INDEX('Raw Data Input'!$R:$R,MATCH($E36,'Raw Data Input'!$D:$D,0)),0)</f>
        <v>109313</v>
      </c>
      <c r="AH36" s="30">
        <f>IFERROR(INDEX('Raw Data Input'!$S:$S,MATCH($E36,'Raw Data Input'!$D:$D,0)),0)</f>
        <v>357309</v>
      </c>
      <c r="AI36" s="30">
        <f>IFERROR(INDEX('Raw Data Input'!$T:$T,MATCH($E36,'Raw Data Input'!$D:$D,0)),0)</f>
        <v>301159</v>
      </c>
    </row>
    <row r="37" spans="1:35" ht="15" customHeight="1" x14ac:dyDescent="0.3">
      <c r="A37" s="27" t="s">
        <v>30</v>
      </c>
      <c r="B37" s="27" t="s">
        <v>31</v>
      </c>
      <c r="C37" s="28">
        <v>2021</v>
      </c>
      <c r="D37" s="29" t="str">
        <f t="shared" ref="D37:D68" si="2">A37&amp;"-"&amp;C37</f>
        <v>GGBL-2021</v>
      </c>
      <c r="E37" s="29" t="str">
        <f t="shared" ref="E37:E68" si="3">A37&amp;"-"&amp;(C37-1)</f>
        <v>GGBL-2020</v>
      </c>
      <c r="F37" s="30">
        <f>IFERROR(INDEX('Raw Data Input'!$F:$F,MATCH($D37,'Raw Data Input'!$D:$D,0)),0)</f>
        <v>1104436</v>
      </c>
      <c r="G37" s="30">
        <f>IFERROR(INDEX('Raw Data Input'!$G:$G,MATCH($D37,'Raw Data Input'!$D:$D,0)),0)</f>
        <v>-786876</v>
      </c>
      <c r="H37" s="30">
        <f>IFERROR(INDEX('Raw Data Input'!$H:$H,MATCH($D37,'Raw Data Input'!$D:$D,0)),0)</f>
        <v>51305</v>
      </c>
      <c r="I37" s="30">
        <f>IFERROR(INDEX('Raw Data Input'!$I:$I,MATCH($D37,'Raw Data Input'!$D:$D,0)),0)</f>
        <v>299015</v>
      </c>
      <c r="J37" s="30">
        <f>IFERROR(INDEX('Raw Data Input'!$J:$J,MATCH($D37,'Raw Data Input'!$D:$D,0)),0)</f>
        <v>540698</v>
      </c>
      <c r="K37" s="30">
        <f>IFERROR(INDEX('Raw Data Input'!$K:$K,MATCH($D37,'Raw Data Input'!$D:$D,0)),0)</f>
        <v>0</v>
      </c>
      <c r="L37" s="30">
        <f>IFERROR(INDEX('Raw Data Input'!$L:$L,MATCH($D37,'Raw Data Input'!$D:$D,0)),0)</f>
        <v>883615</v>
      </c>
      <c r="M37" s="30">
        <f>IFERROR(INDEX('Raw Data Input'!$M:$M,MATCH($D37,'Raw Data Input'!$D:$D,0)),0)</f>
        <v>-81216</v>
      </c>
      <c r="N37" s="30">
        <f>IFERROR(INDEX('Raw Data Input'!$N:$N,MATCH($D37,'Raw Data Input'!$D:$D,0)),0)</f>
        <v>62535</v>
      </c>
      <c r="O37" s="30">
        <f>IFERROR(INDEX('Raw Data Input'!$O:$O,MATCH($D37,'Raw Data Input'!$D:$D,0)),0)</f>
        <v>71527</v>
      </c>
      <c r="P37" s="30">
        <f>IFERROR(INDEX('Raw Data Input'!$P:$P,MATCH($D37,'Raw Data Input'!$D:$D,0)),0)</f>
        <v>154301</v>
      </c>
      <c r="Q37" s="30">
        <f>IFERROR(INDEX('Raw Data Input'!$Q:$Q,MATCH($D37,'Raw Data Input'!$D:$D,0)),0)</f>
        <v>342499</v>
      </c>
      <c r="R37" s="30">
        <f>IFERROR(INDEX('Raw Data Input'!$R:$R,MATCH($D37,'Raw Data Input'!$D:$D,0)),0)</f>
        <v>105577</v>
      </c>
      <c r="S37" s="30">
        <f>IFERROR(INDEX('Raw Data Input'!$S:$S,MATCH($D37,'Raw Data Input'!$D:$D,0)),0)</f>
        <v>511781</v>
      </c>
      <c r="T37" s="30">
        <f>IFERROR(INDEX('Raw Data Input'!$T:$T,MATCH($D37,'Raw Data Input'!$D:$D,0)),0)</f>
        <v>371834</v>
      </c>
      <c r="U37" s="30">
        <f>IFERROR(INDEX('Raw Data Input'!$F:$F,MATCH($E37,'Raw Data Input'!$D:$D,0)),0)</f>
        <v>732588</v>
      </c>
      <c r="V37" s="30">
        <f>IFERROR(INDEX('Raw Data Input'!$G:$G,MATCH($E37,'Raw Data Input'!$D:$D,0)),0)</f>
        <v>-544759</v>
      </c>
      <c r="W37" s="30">
        <f>IFERROR(INDEX('Raw Data Input'!$H:$H,MATCH($E37,'Raw Data Input'!$D:$D,0)),0)</f>
        <v>25237</v>
      </c>
      <c r="X37" s="30">
        <f>IFERROR(INDEX('Raw Data Input'!$I:$I,MATCH($E37,'Raw Data Input'!$D:$D,0)),0)</f>
        <v>195224</v>
      </c>
      <c r="Y37" s="30">
        <f>IFERROR(INDEX('Raw Data Input'!$J:$J,MATCH($E37,'Raw Data Input'!$D:$D,0)),0)</f>
        <v>476247</v>
      </c>
      <c r="Z37" s="30">
        <f>IFERROR(INDEX('Raw Data Input'!$K:$K,MATCH($E37,'Raw Data Input'!$D:$D,0)),0)</f>
        <v>0</v>
      </c>
      <c r="AA37" s="30">
        <f>IFERROR(INDEX('Raw Data Input'!$L:$L,MATCH($E37,'Raw Data Input'!$D:$D,0)),0)</f>
        <v>720723</v>
      </c>
      <c r="AB37" s="30">
        <f>IFERROR(INDEX('Raw Data Input'!$M:$M,MATCH($E37,'Raw Data Input'!$D:$D,0)),0)</f>
        <v>-89023</v>
      </c>
      <c r="AC37" s="30">
        <f>IFERROR(INDEX('Raw Data Input'!$N:$N,MATCH($E37,'Raw Data Input'!$D:$D,0)),0)</f>
        <v>57293</v>
      </c>
      <c r="AD37" s="30">
        <f>IFERROR(INDEX('Raw Data Input'!$O:$O,MATCH($E37,'Raw Data Input'!$D:$D,0)),0)</f>
        <v>12157</v>
      </c>
      <c r="AE37" s="30">
        <f>IFERROR(INDEX('Raw Data Input'!$P:$P,MATCH($E37,'Raw Data Input'!$D:$D,0)),0)</f>
        <v>125503</v>
      </c>
      <c r="AF37" s="30">
        <f>IFERROR(INDEX('Raw Data Input'!$Q:$Q,MATCH($E37,'Raw Data Input'!$D:$D,0)),0)</f>
        <v>244392</v>
      </c>
      <c r="AG37" s="30">
        <f>IFERROR(INDEX('Raw Data Input'!$R:$R,MATCH($E37,'Raw Data Input'!$D:$D,0)),0)</f>
        <v>109253</v>
      </c>
      <c r="AH37" s="30">
        <f>IFERROR(INDEX('Raw Data Input'!$S:$S,MATCH($E37,'Raw Data Input'!$D:$D,0)),0)</f>
        <v>416085</v>
      </c>
      <c r="AI37" s="30">
        <f>IFERROR(INDEX('Raw Data Input'!$T:$T,MATCH($E37,'Raw Data Input'!$D:$D,0)),0)</f>
        <v>304638</v>
      </c>
    </row>
    <row r="38" spans="1:35" ht="15" customHeight="1" x14ac:dyDescent="0.3">
      <c r="A38" s="27" t="s">
        <v>30</v>
      </c>
      <c r="B38" s="27" t="s">
        <v>31</v>
      </c>
      <c r="C38" s="28">
        <v>2022</v>
      </c>
      <c r="D38" s="29" t="str">
        <f t="shared" si="2"/>
        <v>GGBL-2022</v>
      </c>
      <c r="E38" s="29" t="str">
        <f t="shared" si="3"/>
        <v>GGBL-2021</v>
      </c>
      <c r="F38" s="30">
        <f>IFERROR(INDEX('Raw Data Input'!$F:$F,MATCH($D38,'Raw Data Input'!$D:$D,0)),0)</f>
        <v>1298878</v>
      </c>
      <c r="G38" s="30">
        <f>IFERROR(INDEX('Raw Data Input'!$G:$G,MATCH($D38,'Raw Data Input'!$D:$D,0)),0)</f>
        <v>-1045049</v>
      </c>
      <c r="H38" s="30">
        <f>IFERROR(INDEX('Raw Data Input'!$H:$H,MATCH($D38,'Raw Data Input'!$D:$D,0)),0)</f>
        <v>51138</v>
      </c>
      <c r="I38" s="30">
        <f>IFERROR(INDEX('Raw Data Input'!$I:$I,MATCH($D38,'Raw Data Input'!$D:$D,0)),0)</f>
        <v>423870</v>
      </c>
      <c r="J38" s="30">
        <f>IFERROR(INDEX('Raw Data Input'!$J:$J,MATCH($D38,'Raw Data Input'!$D:$D,0)),0)</f>
        <v>610902</v>
      </c>
      <c r="K38" s="30">
        <f>IFERROR(INDEX('Raw Data Input'!$K:$K,MATCH($D38,'Raw Data Input'!$D:$D,0)),0)</f>
        <v>0</v>
      </c>
      <c r="L38" s="30">
        <f>IFERROR(INDEX('Raw Data Input'!$L:$L,MATCH($D38,'Raw Data Input'!$D:$D,0)),0)</f>
        <v>1075326</v>
      </c>
      <c r="M38" s="30">
        <f>IFERROR(INDEX('Raw Data Input'!$M:$M,MATCH($D38,'Raw Data Input'!$D:$D,0)),0)</f>
        <v>-119861</v>
      </c>
      <c r="N38" s="30">
        <f>IFERROR(INDEX('Raw Data Input'!$N:$N,MATCH($D38,'Raw Data Input'!$D:$D,0)),0)</f>
        <v>76855</v>
      </c>
      <c r="O38" s="30">
        <f>IFERROR(INDEX('Raw Data Input'!$O:$O,MATCH($D38,'Raw Data Input'!$D:$D,0)),0)</f>
        <v>5288</v>
      </c>
      <c r="P38" s="30">
        <f>IFERROR(INDEX('Raw Data Input'!$P:$P,MATCH($D38,'Raw Data Input'!$D:$D,0)),0)</f>
        <v>127551</v>
      </c>
      <c r="Q38" s="30">
        <f>IFERROR(INDEX('Raw Data Input'!$Q:$Q,MATCH($D38,'Raw Data Input'!$D:$D,0)),0)</f>
        <v>548871</v>
      </c>
      <c r="R38" s="30">
        <f>IFERROR(INDEX('Raw Data Input'!$R:$R,MATCH($D38,'Raw Data Input'!$D:$D,0)),0)</f>
        <v>105577</v>
      </c>
      <c r="S38" s="30">
        <f>IFERROR(INDEX('Raw Data Input'!$S:$S,MATCH($D38,'Raw Data Input'!$D:$D,0)),0)</f>
        <v>724072</v>
      </c>
      <c r="T38" s="30">
        <f>IFERROR(INDEX('Raw Data Input'!$T:$T,MATCH($D38,'Raw Data Input'!$D:$D,0)),0)</f>
        <v>351254</v>
      </c>
      <c r="U38" s="30">
        <f>IFERROR(INDEX('Raw Data Input'!$F:$F,MATCH($E38,'Raw Data Input'!$D:$D,0)),0)</f>
        <v>1104436</v>
      </c>
      <c r="V38" s="30">
        <f>IFERROR(INDEX('Raw Data Input'!$G:$G,MATCH($E38,'Raw Data Input'!$D:$D,0)),0)</f>
        <v>-786876</v>
      </c>
      <c r="W38" s="30">
        <f>IFERROR(INDEX('Raw Data Input'!$H:$H,MATCH($E38,'Raw Data Input'!$D:$D,0)),0)</f>
        <v>51305</v>
      </c>
      <c r="X38" s="30">
        <f>IFERROR(INDEX('Raw Data Input'!$I:$I,MATCH($E38,'Raw Data Input'!$D:$D,0)),0)</f>
        <v>299015</v>
      </c>
      <c r="Y38" s="30">
        <f>IFERROR(INDEX('Raw Data Input'!$J:$J,MATCH($E38,'Raw Data Input'!$D:$D,0)),0)</f>
        <v>540698</v>
      </c>
      <c r="Z38" s="30">
        <f>IFERROR(INDEX('Raw Data Input'!$K:$K,MATCH($E38,'Raw Data Input'!$D:$D,0)),0)</f>
        <v>0</v>
      </c>
      <c r="AA38" s="30">
        <f>IFERROR(INDEX('Raw Data Input'!$L:$L,MATCH($E38,'Raw Data Input'!$D:$D,0)),0)</f>
        <v>883615</v>
      </c>
      <c r="AB38" s="30">
        <f>IFERROR(INDEX('Raw Data Input'!$M:$M,MATCH($E38,'Raw Data Input'!$D:$D,0)),0)</f>
        <v>-81216</v>
      </c>
      <c r="AC38" s="30">
        <f>IFERROR(INDEX('Raw Data Input'!$N:$N,MATCH($E38,'Raw Data Input'!$D:$D,0)),0)</f>
        <v>62535</v>
      </c>
      <c r="AD38" s="30">
        <f>IFERROR(INDEX('Raw Data Input'!$O:$O,MATCH($E38,'Raw Data Input'!$D:$D,0)),0)</f>
        <v>71527</v>
      </c>
      <c r="AE38" s="30">
        <f>IFERROR(INDEX('Raw Data Input'!$P:$P,MATCH($E38,'Raw Data Input'!$D:$D,0)),0)</f>
        <v>154301</v>
      </c>
      <c r="AF38" s="30">
        <f>IFERROR(INDEX('Raw Data Input'!$Q:$Q,MATCH($E38,'Raw Data Input'!$D:$D,0)),0)</f>
        <v>342499</v>
      </c>
      <c r="AG38" s="30">
        <f>IFERROR(INDEX('Raw Data Input'!$R:$R,MATCH($E38,'Raw Data Input'!$D:$D,0)),0)</f>
        <v>105577</v>
      </c>
      <c r="AH38" s="30">
        <f>IFERROR(INDEX('Raw Data Input'!$S:$S,MATCH($E38,'Raw Data Input'!$D:$D,0)),0)</f>
        <v>511781</v>
      </c>
      <c r="AI38" s="30">
        <f>IFERROR(INDEX('Raw Data Input'!$T:$T,MATCH($E38,'Raw Data Input'!$D:$D,0)),0)</f>
        <v>371834</v>
      </c>
    </row>
    <row r="39" spans="1:35" ht="15" customHeight="1" thickBot="1" x14ac:dyDescent="0.35">
      <c r="A39" s="70" t="s">
        <v>30</v>
      </c>
      <c r="B39" s="70" t="s">
        <v>31</v>
      </c>
      <c r="C39" s="71">
        <v>2023</v>
      </c>
      <c r="D39" s="72" t="str">
        <f t="shared" si="2"/>
        <v>GGBL-2023</v>
      </c>
      <c r="E39" s="72" t="str">
        <f t="shared" si="3"/>
        <v>GGBL-2022</v>
      </c>
      <c r="F39" s="73">
        <f>IFERROR(INDEX('Raw Data Input'!$F:$F,MATCH($D39,'Raw Data Input'!$D:$D,0)),0)</f>
        <v>1766152</v>
      </c>
      <c r="G39" s="73">
        <f>IFERROR(INDEX('Raw Data Input'!$G:$G,MATCH($D39,'Raw Data Input'!$D:$D,0)),0)</f>
        <v>-1423534</v>
      </c>
      <c r="H39" s="73">
        <f>IFERROR(INDEX('Raw Data Input'!$H:$H,MATCH($D39,'Raw Data Input'!$D:$D,0)),0)</f>
        <v>71404</v>
      </c>
      <c r="I39" s="73">
        <f>IFERROR(INDEX('Raw Data Input'!$I:$I,MATCH($D39,'Raw Data Input'!$D:$D,0)),0)</f>
        <v>652359</v>
      </c>
      <c r="J39" s="73">
        <f>IFERROR(INDEX('Raw Data Input'!$J:$J,MATCH($D39,'Raw Data Input'!$D:$D,0)),0)</f>
        <v>775501</v>
      </c>
      <c r="K39" s="73">
        <f>IFERROR(INDEX('Raw Data Input'!$K:$K,MATCH($D39,'Raw Data Input'!$D:$D,0)),0)</f>
        <v>0</v>
      </c>
      <c r="L39" s="73">
        <f>IFERROR(INDEX('Raw Data Input'!$L:$L,MATCH($D39,'Raw Data Input'!$D:$D,0)),0)</f>
        <v>1448515</v>
      </c>
      <c r="M39" s="73">
        <f>IFERROR(INDEX('Raw Data Input'!$M:$M,MATCH($D39,'Raw Data Input'!$D:$D,0)),0)</f>
        <v>-122253</v>
      </c>
      <c r="N39" s="73">
        <f>IFERROR(INDEX('Raw Data Input'!$N:$N,MATCH($D39,'Raw Data Input'!$D:$D,0)),0)</f>
        <v>105736</v>
      </c>
      <c r="O39" s="73">
        <f>IFERROR(INDEX('Raw Data Input'!$O:$O,MATCH($D39,'Raw Data Input'!$D:$D,0)),0)</f>
        <v>39525</v>
      </c>
      <c r="P39" s="73">
        <f>IFERROR(INDEX('Raw Data Input'!$P:$P,MATCH($D39,'Raw Data Input'!$D:$D,0)),0)</f>
        <v>460082</v>
      </c>
      <c r="Q39" s="73">
        <f>IFERROR(INDEX('Raw Data Input'!$Q:$Q,MATCH($D39,'Raw Data Input'!$D:$D,0)),0)</f>
        <v>893136</v>
      </c>
      <c r="R39" s="73">
        <f>IFERROR(INDEX('Raw Data Input'!$R:$R,MATCH($D39,'Raw Data Input'!$D:$D,0)),0)</f>
        <v>105577</v>
      </c>
      <c r="S39" s="73">
        <f>IFERROR(INDEX('Raw Data Input'!$S:$S,MATCH($D39,'Raw Data Input'!$D:$D,0)),0)</f>
        <v>1056712</v>
      </c>
      <c r="T39" s="73">
        <f>IFERROR(INDEX('Raw Data Input'!$T:$T,MATCH($D39,'Raw Data Input'!$D:$D,0)),0)</f>
        <v>391803</v>
      </c>
      <c r="U39" s="73">
        <f>IFERROR(INDEX('Raw Data Input'!$F:$F,MATCH($E39,'Raw Data Input'!$D:$D,0)),0)</f>
        <v>1298878</v>
      </c>
      <c r="V39" s="73">
        <f>IFERROR(INDEX('Raw Data Input'!$G:$G,MATCH($E39,'Raw Data Input'!$D:$D,0)),0)</f>
        <v>-1045049</v>
      </c>
      <c r="W39" s="73">
        <f>IFERROR(INDEX('Raw Data Input'!$H:$H,MATCH($E39,'Raw Data Input'!$D:$D,0)),0)</f>
        <v>51138</v>
      </c>
      <c r="X39" s="73">
        <f>IFERROR(INDEX('Raw Data Input'!$I:$I,MATCH($E39,'Raw Data Input'!$D:$D,0)),0)</f>
        <v>423870</v>
      </c>
      <c r="Y39" s="73">
        <f>IFERROR(INDEX('Raw Data Input'!$J:$J,MATCH($E39,'Raw Data Input'!$D:$D,0)),0)</f>
        <v>610902</v>
      </c>
      <c r="Z39" s="73">
        <f>IFERROR(INDEX('Raw Data Input'!$K:$K,MATCH($E39,'Raw Data Input'!$D:$D,0)),0)</f>
        <v>0</v>
      </c>
      <c r="AA39" s="73">
        <f>IFERROR(INDEX('Raw Data Input'!$L:$L,MATCH($E39,'Raw Data Input'!$D:$D,0)),0)</f>
        <v>1075326</v>
      </c>
      <c r="AB39" s="73">
        <f>IFERROR(INDEX('Raw Data Input'!$M:$M,MATCH($E39,'Raw Data Input'!$D:$D,0)),0)</f>
        <v>-119861</v>
      </c>
      <c r="AC39" s="73">
        <f>IFERROR(INDEX('Raw Data Input'!$N:$N,MATCH($E39,'Raw Data Input'!$D:$D,0)),0)</f>
        <v>76855</v>
      </c>
      <c r="AD39" s="73">
        <f>IFERROR(INDEX('Raw Data Input'!$O:$O,MATCH($E39,'Raw Data Input'!$D:$D,0)),0)</f>
        <v>5288</v>
      </c>
      <c r="AE39" s="73">
        <f>IFERROR(INDEX('Raw Data Input'!$P:$P,MATCH($E39,'Raw Data Input'!$D:$D,0)),0)</f>
        <v>127551</v>
      </c>
      <c r="AF39" s="73">
        <f>IFERROR(INDEX('Raw Data Input'!$Q:$Q,MATCH($E39,'Raw Data Input'!$D:$D,0)),0)</f>
        <v>548871</v>
      </c>
      <c r="AG39" s="73">
        <f>IFERROR(INDEX('Raw Data Input'!$R:$R,MATCH($E39,'Raw Data Input'!$D:$D,0)),0)</f>
        <v>105577</v>
      </c>
      <c r="AH39" s="73">
        <f>IFERROR(INDEX('Raw Data Input'!$S:$S,MATCH($E39,'Raw Data Input'!$D:$D,0)),0)</f>
        <v>724072</v>
      </c>
      <c r="AI39" s="73">
        <f>IFERROR(INDEX('Raw Data Input'!$T:$T,MATCH($E39,'Raw Data Input'!$D:$D,0)),0)</f>
        <v>351254</v>
      </c>
    </row>
    <row r="40" spans="1:35" ht="15" customHeight="1" x14ac:dyDescent="0.3">
      <c r="A40" s="77" t="s">
        <v>32</v>
      </c>
      <c r="B40" s="77" t="s">
        <v>33</v>
      </c>
      <c r="C40" s="78">
        <v>2019</v>
      </c>
      <c r="D40" s="79" t="str">
        <f t="shared" si="2"/>
        <v>GOIL-2019</v>
      </c>
      <c r="E40" s="79" t="str">
        <f t="shared" si="3"/>
        <v>GOIL-2018</v>
      </c>
      <c r="F40" s="80">
        <f>IFERROR(INDEX('Raw Data Input'!$F:$F,MATCH($D40,'Raw Data Input'!$D:$D,0)),0)</f>
        <v>6264665</v>
      </c>
      <c r="G40" s="80">
        <f>IFERROR(INDEX('Raw Data Input'!$G:$G,MATCH($D40,'Raw Data Input'!$D:$D,0)),0)</f>
        <v>-5894510</v>
      </c>
      <c r="H40" s="80">
        <f>IFERROR(INDEX('Raw Data Input'!$H:$H,MATCH($D40,'Raw Data Input'!$D:$D,0)),0)</f>
        <v>574127</v>
      </c>
      <c r="I40" s="80">
        <f>IFERROR(INDEX('Raw Data Input'!$I:$I,MATCH($D40,'Raw Data Input'!$D:$D,0)),0)</f>
        <v>984195</v>
      </c>
      <c r="J40" s="80">
        <f>IFERROR(INDEX('Raw Data Input'!$J:$J,MATCH($D40,'Raw Data Input'!$D:$D,0)),0)</f>
        <v>724632</v>
      </c>
      <c r="K40" s="80">
        <f>IFERROR(INDEX('Raw Data Input'!$K:$K,MATCH($D40,'Raw Data Input'!$D:$D,0)),0)</f>
        <v>0</v>
      </c>
      <c r="L40" s="80">
        <f>IFERROR(INDEX('Raw Data Input'!$L:$L,MATCH($D40,'Raw Data Input'!$D:$D,0)),0)</f>
        <v>1716297</v>
      </c>
      <c r="M40" s="80">
        <f>IFERROR(INDEX('Raw Data Input'!$M:$M,MATCH($D40,'Raw Data Input'!$D:$D,0)),0)</f>
        <v>-154084</v>
      </c>
      <c r="N40" s="80">
        <f>IFERROR(INDEX('Raw Data Input'!$N:$N,MATCH($D40,'Raw Data Input'!$D:$D,0)),0)</f>
        <v>49447</v>
      </c>
      <c r="O40" s="80">
        <f>IFERROR(INDEX('Raw Data Input'!$O:$O,MATCH($D40,'Raw Data Input'!$D:$D,0)),0)</f>
        <v>105512</v>
      </c>
      <c r="P40" s="80">
        <f>IFERROR(INDEX('Raw Data Input'!$P:$P,MATCH($D40,'Raw Data Input'!$D:$D,0)),0)</f>
        <v>136960</v>
      </c>
      <c r="Q40" s="80">
        <f>IFERROR(INDEX('Raw Data Input'!$Q:$Q,MATCH($D40,'Raw Data Input'!$D:$D,0)),0)</f>
        <v>1050694</v>
      </c>
      <c r="R40" s="80">
        <f>IFERROR(INDEX('Raw Data Input'!$R:$R,MATCH($D40,'Raw Data Input'!$D:$D,0)),0)</f>
        <v>117913</v>
      </c>
      <c r="S40" s="80">
        <f>IFERROR(INDEX('Raw Data Input'!$S:$S,MATCH($D40,'Raw Data Input'!$D:$D,0)),0)</f>
        <v>1188145</v>
      </c>
      <c r="T40" s="80">
        <f>IFERROR(INDEX('Raw Data Input'!$T:$T,MATCH($D40,'Raw Data Input'!$D:$D,0)),0)</f>
        <v>528152</v>
      </c>
      <c r="U40" s="80">
        <f>IFERROR(INDEX('Raw Data Input'!$F:$F,MATCH($E40,'Raw Data Input'!$D:$D,0)),0)</f>
        <v>5091624</v>
      </c>
      <c r="V40" s="80">
        <f>IFERROR(INDEX('Raw Data Input'!$G:$G,MATCH($E40,'Raw Data Input'!$D:$D,0)),0)</f>
        <v>-4804489</v>
      </c>
      <c r="W40" s="80">
        <f>IFERROR(INDEX('Raw Data Input'!$H:$H,MATCH($E40,'Raw Data Input'!$D:$D,0)),0)</f>
        <v>464166</v>
      </c>
      <c r="X40" s="80">
        <f>IFERROR(INDEX('Raw Data Input'!$I:$I,MATCH($E40,'Raw Data Input'!$D:$D,0)),0)</f>
        <v>766752</v>
      </c>
      <c r="Y40" s="80">
        <f>IFERROR(INDEX('Raw Data Input'!$J:$J,MATCH($E40,'Raw Data Input'!$D:$D,0)),0)</f>
        <v>570120</v>
      </c>
      <c r="Z40" s="80">
        <f>IFERROR(INDEX('Raw Data Input'!$K:$K,MATCH($E40,'Raw Data Input'!$D:$D,0)),0)</f>
        <v>0</v>
      </c>
      <c r="AA40" s="80">
        <f>IFERROR(INDEX('Raw Data Input'!$L:$L,MATCH($E40,'Raw Data Input'!$D:$D,0)),0)</f>
        <v>1345513</v>
      </c>
      <c r="AB40" s="80">
        <f>IFERROR(INDEX('Raw Data Input'!$M:$M,MATCH($E40,'Raw Data Input'!$D:$D,0)),0)</f>
        <v>-122837</v>
      </c>
      <c r="AC40" s="80">
        <f>IFERROR(INDEX('Raw Data Input'!$N:$N,MATCH($E40,'Raw Data Input'!$D:$D,0)),0)</f>
        <v>33496</v>
      </c>
      <c r="AD40" s="80">
        <f>IFERROR(INDEX('Raw Data Input'!$O:$O,MATCH($E40,'Raw Data Input'!$D:$D,0)),0)</f>
        <v>81947</v>
      </c>
      <c r="AE40" s="80">
        <f>IFERROR(INDEX('Raw Data Input'!$P:$P,MATCH($E40,'Raw Data Input'!$D:$D,0)),0)</f>
        <v>152912</v>
      </c>
      <c r="AF40" s="80">
        <f>IFERROR(INDEX('Raw Data Input'!$Q:$Q,MATCH($E40,'Raw Data Input'!$D:$D,0)),0)</f>
        <v>839769</v>
      </c>
      <c r="AG40" s="80">
        <f>IFERROR(INDEX('Raw Data Input'!$R:$R,MATCH($E40,'Raw Data Input'!$D:$D,0)),0)</f>
        <v>49901</v>
      </c>
      <c r="AH40" s="80">
        <f>IFERROR(INDEX('Raw Data Input'!$S:$S,MATCH($E40,'Raw Data Input'!$D:$D,0)),0)</f>
        <v>906864</v>
      </c>
      <c r="AI40" s="80">
        <f>IFERROR(INDEX('Raw Data Input'!$T:$T,MATCH($E40,'Raw Data Input'!$D:$D,0)),0)</f>
        <v>438649</v>
      </c>
    </row>
    <row r="41" spans="1:35" ht="15" customHeight="1" x14ac:dyDescent="0.3">
      <c r="A41" s="27" t="s">
        <v>32</v>
      </c>
      <c r="B41" s="27" t="s">
        <v>33</v>
      </c>
      <c r="C41" s="28">
        <v>2020</v>
      </c>
      <c r="D41" s="29" t="str">
        <f t="shared" si="2"/>
        <v>GOIL-2020</v>
      </c>
      <c r="E41" s="29" t="str">
        <f t="shared" si="3"/>
        <v>GOIL-2019</v>
      </c>
      <c r="F41" s="30">
        <f>IFERROR(INDEX('Raw Data Input'!$F:$F,MATCH($D41,'Raw Data Input'!$D:$D,0)),0)</f>
        <v>4838010</v>
      </c>
      <c r="G41" s="30">
        <f>IFERROR(INDEX('Raw Data Input'!$G:$G,MATCH($D41,'Raw Data Input'!$D:$D,0)),0)</f>
        <v>-4469209</v>
      </c>
      <c r="H41" s="30">
        <f>IFERROR(INDEX('Raw Data Input'!$H:$H,MATCH($D41,'Raw Data Input'!$D:$D,0)),0)</f>
        <v>706454</v>
      </c>
      <c r="I41" s="30">
        <f>IFERROR(INDEX('Raw Data Input'!$I:$I,MATCH($D41,'Raw Data Input'!$D:$D,0)),0)</f>
        <v>1075276</v>
      </c>
      <c r="J41" s="30">
        <f>IFERROR(INDEX('Raw Data Input'!$J:$J,MATCH($D41,'Raw Data Input'!$D:$D,0)),0)</f>
        <v>1016887</v>
      </c>
      <c r="K41" s="30">
        <f>IFERROR(INDEX('Raw Data Input'!$K:$K,MATCH($D41,'Raw Data Input'!$D:$D,0)),0)</f>
        <v>0</v>
      </c>
      <c r="L41" s="30">
        <f>IFERROR(INDEX('Raw Data Input'!$L:$L,MATCH($D41,'Raw Data Input'!$D:$D,0)),0)</f>
        <v>2101141</v>
      </c>
      <c r="M41" s="30">
        <f>IFERROR(INDEX('Raw Data Input'!$M:$M,MATCH($D41,'Raw Data Input'!$D:$D,0)),0)</f>
        <v>-176739</v>
      </c>
      <c r="N41" s="30">
        <f>IFERROR(INDEX('Raw Data Input'!$N:$N,MATCH($D41,'Raw Data Input'!$D:$D,0)),0)</f>
        <v>45389</v>
      </c>
      <c r="O41" s="30">
        <f>IFERROR(INDEX('Raw Data Input'!$O:$O,MATCH($D41,'Raw Data Input'!$D:$D,0)),0)</f>
        <v>90207</v>
      </c>
      <c r="P41" s="30">
        <f>IFERROR(INDEX('Raw Data Input'!$P:$P,MATCH($D41,'Raw Data Input'!$D:$D,0)),0)</f>
        <v>182893</v>
      </c>
      <c r="Q41" s="30">
        <f>IFERROR(INDEX('Raw Data Input'!$Q:$Q,MATCH($D41,'Raw Data Input'!$D:$D,0)),0)</f>
        <v>1301807</v>
      </c>
      <c r="R41" s="30">
        <f>IFERROR(INDEX('Raw Data Input'!$R:$R,MATCH($D41,'Raw Data Input'!$D:$D,0)),0)</f>
        <v>180592</v>
      </c>
      <c r="S41" s="30">
        <f>IFERROR(INDEX('Raw Data Input'!$S:$S,MATCH($D41,'Raw Data Input'!$D:$D,0)),0)</f>
        <v>1500117</v>
      </c>
      <c r="T41" s="30">
        <f>IFERROR(INDEX('Raw Data Input'!$T:$T,MATCH($D41,'Raw Data Input'!$D:$D,0)),0)</f>
        <v>601024</v>
      </c>
      <c r="U41" s="30">
        <f>IFERROR(INDEX('Raw Data Input'!$F:$F,MATCH($E41,'Raw Data Input'!$D:$D,0)),0)</f>
        <v>6264665</v>
      </c>
      <c r="V41" s="30">
        <f>IFERROR(INDEX('Raw Data Input'!$G:$G,MATCH($E41,'Raw Data Input'!$D:$D,0)),0)</f>
        <v>-5894510</v>
      </c>
      <c r="W41" s="30">
        <f>IFERROR(INDEX('Raw Data Input'!$H:$H,MATCH($E41,'Raw Data Input'!$D:$D,0)),0)</f>
        <v>574127</v>
      </c>
      <c r="X41" s="30">
        <f>IFERROR(INDEX('Raw Data Input'!$I:$I,MATCH($E41,'Raw Data Input'!$D:$D,0)),0)</f>
        <v>984195</v>
      </c>
      <c r="Y41" s="30">
        <f>IFERROR(INDEX('Raw Data Input'!$J:$J,MATCH($E41,'Raw Data Input'!$D:$D,0)),0)</f>
        <v>724632</v>
      </c>
      <c r="Z41" s="30">
        <f>IFERROR(INDEX('Raw Data Input'!$K:$K,MATCH($E41,'Raw Data Input'!$D:$D,0)),0)</f>
        <v>0</v>
      </c>
      <c r="AA41" s="30">
        <f>IFERROR(INDEX('Raw Data Input'!$L:$L,MATCH($E41,'Raw Data Input'!$D:$D,0)),0)</f>
        <v>1716297</v>
      </c>
      <c r="AB41" s="30">
        <f>IFERROR(INDEX('Raw Data Input'!$M:$M,MATCH($E41,'Raw Data Input'!$D:$D,0)),0)</f>
        <v>-154084</v>
      </c>
      <c r="AC41" s="30">
        <f>IFERROR(INDEX('Raw Data Input'!$N:$N,MATCH($E41,'Raw Data Input'!$D:$D,0)),0)</f>
        <v>49447</v>
      </c>
      <c r="AD41" s="30">
        <f>IFERROR(INDEX('Raw Data Input'!$O:$O,MATCH($E41,'Raw Data Input'!$D:$D,0)),0)</f>
        <v>105512</v>
      </c>
      <c r="AE41" s="30">
        <f>IFERROR(INDEX('Raw Data Input'!$P:$P,MATCH($E41,'Raw Data Input'!$D:$D,0)),0)</f>
        <v>136960</v>
      </c>
      <c r="AF41" s="30">
        <f>IFERROR(INDEX('Raw Data Input'!$Q:$Q,MATCH($E41,'Raw Data Input'!$D:$D,0)),0)</f>
        <v>1050694</v>
      </c>
      <c r="AG41" s="30">
        <f>IFERROR(INDEX('Raw Data Input'!$R:$R,MATCH($E41,'Raw Data Input'!$D:$D,0)),0)</f>
        <v>117913</v>
      </c>
      <c r="AH41" s="30">
        <f>IFERROR(INDEX('Raw Data Input'!$S:$S,MATCH($E41,'Raw Data Input'!$D:$D,0)),0)</f>
        <v>1188145</v>
      </c>
      <c r="AI41" s="30">
        <f>IFERROR(INDEX('Raw Data Input'!$T:$T,MATCH($E41,'Raw Data Input'!$D:$D,0)),0)</f>
        <v>528152</v>
      </c>
    </row>
    <row r="42" spans="1:35" ht="15" customHeight="1" x14ac:dyDescent="0.3">
      <c r="A42" s="27" t="s">
        <v>32</v>
      </c>
      <c r="B42" s="27" t="s">
        <v>33</v>
      </c>
      <c r="C42" s="28">
        <v>2021</v>
      </c>
      <c r="D42" s="29" t="str">
        <f t="shared" si="2"/>
        <v>GOIL-2021</v>
      </c>
      <c r="E42" s="29" t="str">
        <f t="shared" si="3"/>
        <v>GOIL-2020</v>
      </c>
      <c r="F42" s="30">
        <f>IFERROR(INDEX('Raw Data Input'!$F:$F,MATCH($D42,'Raw Data Input'!$D:$D,0)),0)</f>
        <v>7536824</v>
      </c>
      <c r="G42" s="30">
        <f>IFERROR(INDEX('Raw Data Input'!$G:$G,MATCH($D42,'Raw Data Input'!$D:$D,0)),0)</f>
        <v>-7081710</v>
      </c>
      <c r="H42" s="30">
        <f>IFERROR(INDEX('Raw Data Input'!$H:$H,MATCH($D42,'Raw Data Input'!$D:$D,0)),0)</f>
        <v>764053</v>
      </c>
      <c r="I42" s="30">
        <f>IFERROR(INDEX('Raw Data Input'!$I:$I,MATCH($D42,'Raw Data Input'!$D:$D,0)),0)</f>
        <v>1271755</v>
      </c>
      <c r="J42" s="30">
        <f>IFERROR(INDEX('Raw Data Input'!$J:$J,MATCH($D42,'Raw Data Input'!$D:$D,0)),0)</f>
        <v>1213045</v>
      </c>
      <c r="K42" s="30">
        <f>IFERROR(INDEX('Raw Data Input'!$K:$K,MATCH($D42,'Raw Data Input'!$D:$D,0)),0)</f>
        <v>0</v>
      </c>
      <c r="L42" s="30">
        <f>IFERROR(INDEX('Raw Data Input'!$L:$L,MATCH($D42,'Raw Data Input'!$D:$D,0)),0)</f>
        <v>2497227</v>
      </c>
      <c r="M42" s="30">
        <f>IFERROR(INDEX('Raw Data Input'!$M:$M,MATCH($D42,'Raw Data Input'!$D:$D,0)),0)</f>
        <v>-234883</v>
      </c>
      <c r="N42" s="30">
        <f>IFERROR(INDEX('Raw Data Input'!$N:$N,MATCH($D42,'Raw Data Input'!$D:$D,0)),0)</f>
        <v>51510</v>
      </c>
      <c r="O42" s="30">
        <f>IFERROR(INDEX('Raw Data Input'!$O:$O,MATCH($D42,'Raw Data Input'!$D:$D,0)),0)</f>
        <v>98740</v>
      </c>
      <c r="P42" s="30">
        <f>IFERROR(INDEX('Raw Data Input'!$P:$P,MATCH($D42,'Raw Data Input'!$D:$D,0)),0)</f>
        <v>419642</v>
      </c>
      <c r="Q42" s="30">
        <f>IFERROR(INDEX('Raw Data Input'!$Q:$Q,MATCH($D42,'Raw Data Input'!$D:$D,0)),0)</f>
        <v>1670144</v>
      </c>
      <c r="R42" s="30">
        <f>IFERROR(INDEX('Raw Data Input'!$R:$R,MATCH($D42,'Raw Data Input'!$D:$D,0)),0)</f>
        <v>122078</v>
      </c>
      <c r="S42" s="30">
        <f>IFERROR(INDEX('Raw Data Input'!$S:$S,MATCH($D42,'Raw Data Input'!$D:$D,0)),0)</f>
        <v>1812818</v>
      </c>
      <c r="T42" s="30">
        <f>IFERROR(INDEX('Raw Data Input'!$T:$T,MATCH($D42,'Raw Data Input'!$D:$D,0)),0)</f>
        <v>684409</v>
      </c>
      <c r="U42" s="30">
        <f>IFERROR(INDEX('Raw Data Input'!$F:$F,MATCH($E42,'Raw Data Input'!$D:$D,0)),0)</f>
        <v>4838010</v>
      </c>
      <c r="V42" s="30">
        <f>IFERROR(INDEX('Raw Data Input'!$G:$G,MATCH($E42,'Raw Data Input'!$D:$D,0)),0)</f>
        <v>-4469209</v>
      </c>
      <c r="W42" s="30">
        <f>IFERROR(INDEX('Raw Data Input'!$H:$H,MATCH($E42,'Raw Data Input'!$D:$D,0)),0)</f>
        <v>706454</v>
      </c>
      <c r="X42" s="30">
        <f>IFERROR(INDEX('Raw Data Input'!$I:$I,MATCH($E42,'Raw Data Input'!$D:$D,0)),0)</f>
        <v>1075276</v>
      </c>
      <c r="Y42" s="30">
        <f>IFERROR(INDEX('Raw Data Input'!$J:$J,MATCH($E42,'Raw Data Input'!$D:$D,0)),0)</f>
        <v>1016887</v>
      </c>
      <c r="Z42" s="30">
        <f>IFERROR(INDEX('Raw Data Input'!$K:$K,MATCH($E42,'Raw Data Input'!$D:$D,0)),0)</f>
        <v>0</v>
      </c>
      <c r="AA42" s="30">
        <f>IFERROR(INDEX('Raw Data Input'!$L:$L,MATCH($E42,'Raw Data Input'!$D:$D,0)),0)</f>
        <v>2101141</v>
      </c>
      <c r="AB42" s="30">
        <f>IFERROR(INDEX('Raw Data Input'!$M:$M,MATCH($E42,'Raw Data Input'!$D:$D,0)),0)</f>
        <v>-176739</v>
      </c>
      <c r="AC42" s="30">
        <f>IFERROR(INDEX('Raw Data Input'!$N:$N,MATCH($E42,'Raw Data Input'!$D:$D,0)),0)</f>
        <v>45389</v>
      </c>
      <c r="AD42" s="30">
        <f>IFERROR(INDEX('Raw Data Input'!$O:$O,MATCH($E42,'Raw Data Input'!$D:$D,0)),0)</f>
        <v>90207</v>
      </c>
      <c r="AE42" s="30">
        <f>IFERROR(INDEX('Raw Data Input'!$P:$P,MATCH($E42,'Raw Data Input'!$D:$D,0)),0)</f>
        <v>182893</v>
      </c>
      <c r="AF42" s="30">
        <f>IFERROR(INDEX('Raw Data Input'!$Q:$Q,MATCH($E42,'Raw Data Input'!$D:$D,0)),0)</f>
        <v>1301807</v>
      </c>
      <c r="AG42" s="30">
        <f>IFERROR(INDEX('Raw Data Input'!$R:$R,MATCH($E42,'Raw Data Input'!$D:$D,0)),0)</f>
        <v>180592</v>
      </c>
      <c r="AH42" s="30">
        <f>IFERROR(INDEX('Raw Data Input'!$S:$S,MATCH($E42,'Raw Data Input'!$D:$D,0)),0)</f>
        <v>1500117</v>
      </c>
      <c r="AI42" s="30">
        <f>IFERROR(INDEX('Raw Data Input'!$T:$T,MATCH($E42,'Raw Data Input'!$D:$D,0)),0)</f>
        <v>601024</v>
      </c>
    </row>
    <row r="43" spans="1:35" ht="15" customHeight="1" x14ac:dyDescent="0.3">
      <c r="A43" s="27" t="s">
        <v>32</v>
      </c>
      <c r="B43" s="27" t="s">
        <v>33</v>
      </c>
      <c r="C43" s="28">
        <v>2022</v>
      </c>
      <c r="D43" s="29" t="str">
        <f t="shared" si="2"/>
        <v>GOIL-2022</v>
      </c>
      <c r="E43" s="29" t="str">
        <f t="shared" si="3"/>
        <v>GOIL-2021</v>
      </c>
      <c r="F43" s="30">
        <f>IFERROR(INDEX('Raw Data Input'!$F:$F,MATCH($D43,'Raw Data Input'!$D:$D,0)),0)</f>
        <v>20744046</v>
      </c>
      <c r="G43" s="30">
        <f>IFERROR(INDEX('Raw Data Input'!$G:$G,MATCH($D43,'Raw Data Input'!$D:$D,0)),0)</f>
        <v>-20104861</v>
      </c>
      <c r="H43" s="30">
        <f>IFERROR(INDEX('Raw Data Input'!$H:$H,MATCH($D43,'Raw Data Input'!$D:$D,0)),0)</f>
        <v>1669678</v>
      </c>
      <c r="I43" s="30">
        <f>IFERROR(INDEX('Raw Data Input'!$I:$I,MATCH($D43,'Raw Data Input'!$D:$D,0)),0)</f>
        <v>3170497</v>
      </c>
      <c r="J43" s="30">
        <f>IFERROR(INDEX('Raw Data Input'!$J:$J,MATCH($D43,'Raw Data Input'!$D:$D,0)),0)</f>
        <v>1422560</v>
      </c>
      <c r="K43" s="30">
        <f>IFERROR(INDEX('Raw Data Input'!$K:$K,MATCH($D43,'Raw Data Input'!$D:$D,0)),0)</f>
        <v>0</v>
      </c>
      <c r="L43" s="30">
        <f>IFERROR(INDEX('Raw Data Input'!$L:$L,MATCH($D43,'Raw Data Input'!$D:$D,0)),0)</f>
        <v>4609544</v>
      </c>
      <c r="M43" s="30">
        <f>IFERROR(INDEX('Raw Data Input'!$M:$M,MATCH($D43,'Raw Data Input'!$D:$D,0)),0)</f>
        <v>-359956</v>
      </c>
      <c r="N43" s="30">
        <f>IFERROR(INDEX('Raw Data Input'!$N:$N,MATCH($D43,'Raw Data Input'!$D:$D,0)),0)</f>
        <v>63992</v>
      </c>
      <c r="O43" s="30">
        <f>IFERROR(INDEX('Raw Data Input'!$O:$O,MATCH($D43,'Raw Data Input'!$D:$D,0)),0)</f>
        <v>123894</v>
      </c>
      <c r="P43" s="30">
        <f>IFERROR(INDEX('Raw Data Input'!$P:$P,MATCH($D43,'Raw Data Input'!$D:$D,0)),0)</f>
        <v>652700</v>
      </c>
      <c r="Q43" s="30">
        <f>IFERROR(INDEX('Raw Data Input'!$Q:$Q,MATCH($D43,'Raw Data Input'!$D:$D,0)),0)</f>
        <v>3710849</v>
      </c>
      <c r="R43" s="30">
        <f>IFERROR(INDEX('Raw Data Input'!$R:$R,MATCH($D43,'Raw Data Input'!$D:$D,0)),0)</f>
        <v>86291</v>
      </c>
      <c r="S43" s="30">
        <f>IFERROR(INDEX('Raw Data Input'!$S:$S,MATCH($D43,'Raw Data Input'!$D:$D,0)),0)</f>
        <v>3820720</v>
      </c>
      <c r="T43" s="30">
        <f>IFERROR(INDEX('Raw Data Input'!$T:$T,MATCH($D43,'Raw Data Input'!$D:$D,0)),0)</f>
        <v>788824</v>
      </c>
      <c r="U43" s="30">
        <f>IFERROR(INDEX('Raw Data Input'!$F:$F,MATCH($E43,'Raw Data Input'!$D:$D,0)),0)</f>
        <v>7536824</v>
      </c>
      <c r="V43" s="30">
        <f>IFERROR(INDEX('Raw Data Input'!$G:$G,MATCH($E43,'Raw Data Input'!$D:$D,0)),0)</f>
        <v>-7081710</v>
      </c>
      <c r="W43" s="30">
        <f>IFERROR(INDEX('Raw Data Input'!$H:$H,MATCH($E43,'Raw Data Input'!$D:$D,0)),0)</f>
        <v>764053</v>
      </c>
      <c r="X43" s="30">
        <f>IFERROR(INDEX('Raw Data Input'!$I:$I,MATCH($E43,'Raw Data Input'!$D:$D,0)),0)</f>
        <v>1271755</v>
      </c>
      <c r="Y43" s="30">
        <f>IFERROR(INDEX('Raw Data Input'!$J:$J,MATCH($E43,'Raw Data Input'!$D:$D,0)),0)</f>
        <v>1213045</v>
      </c>
      <c r="Z43" s="30">
        <f>IFERROR(INDEX('Raw Data Input'!$K:$K,MATCH($E43,'Raw Data Input'!$D:$D,0)),0)</f>
        <v>0</v>
      </c>
      <c r="AA43" s="30">
        <f>IFERROR(INDEX('Raw Data Input'!$L:$L,MATCH($E43,'Raw Data Input'!$D:$D,0)),0)</f>
        <v>2497227</v>
      </c>
      <c r="AB43" s="30">
        <f>IFERROR(INDEX('Raw Data Input'!$M:$M,MATCH($E43,'Raw Data Input'!$D:$D,0)),0)</f>
        <v>-234883</v>
      </c>
      <c r="AC43" s="30">
        <f>IFERROR(INDEX('Raw Data Input'!$N:$N,MATCH($E43,'Raw Data Input'!$D:$D,0)),0)</f>
        <v>51510</v>
      </c>
      <c r="AD43" s="30">
        <f>IFERROR(INDEX('Raw Data Input'!$O:$O,MATCH($E43,'Raw Data Input'!$D:$D,0)),0)</f>
        <v>98740</v>
      </c>
      <c r="AE43" s="30">
        <f>IFERROR(INDEX('Raw Data Input'!$P:$P,MATCH($E43,'Raw Data Input'!$D:$D,0)),0)</f>
        <v>419642</v>
      </c>
      <c r="AF43" s="30">
        <f>IFERROR(INDEX('Raw Data Input'!$Q:$Q,MATCH($E43,'Raw Data Input'!$D:$D,0)),0)</f>
        <v>1670144</v>
      </c>
      <c r="AG43" s="30">
        <f>IFERROR(INDEX('Raw Data Input'!$R:$R,MATCH($E43,'Raw Data Input'!$D:$D,0)),0)</f>
        <v>122078</v>
      </c>
      <c r="AH43" s="30">
        <f>IFERROR(INDEX('Raw Data Input'!$S:$S,MATCH($E43,'Raw Data Input'!$D:$D,0)),0)</f>
        <v>1812818</v>
      </c>
      <c r="AI43" s="30">
        <f>IFERROR(INDEX('Raw Data Input'!$T:$T,MATCH($E43,'Raw Data Input'!$D:$D,0)),0)</f>
        <v>684409</v>
      </c>
    </row>
    <row r="44" spans="1:35" ht="15" customHeight="1" thickBot="1" x14ac:dyDescent="0.35">
      <c r="A44" s="81" t="s">
        <v>32</v>
      </c>
      <c r="B44" s="81" t="s">
        <v>33</v>
      </c>
      <c r="C44" s="82">
        <v>2023</v>
      </c>
      <c r="D44" s="83" t="str">
        <f t="shared" si="2"/>
        <v>GOIL-2023</v>
      </c>
      <c r="E44" s="83" t="str">
        <f t="shared" si="3"/>
        <v>GOIL-2022</v>
      </c>
      <c r="F44" s="84">
        <f>IFERROR(INDEX('Raw Data Input'!$F:$F,MATCH($D44,'Raw Data Input'!$D:$D,0)),0)</f>
        <v>20606778</v>
      </c>
      <c r="G44" s="84">
        <f>IFERROR(INDEX('Raw Data Input'!$G:$G,MATCH($D44,'Raw Data Input'!$D:$D,0)),0)</f>
        <v>-19898015</v>
      </c>
      <c r="H44" s="84">
        <f>IFERROR(INDEX('Raw Data Input'!$H:$H,MATCH($D44,'Raw Data Input'!$D:$D,0)),0)</f>
        <v>1261080</v>
      </c>
      <c r="I44" s="84">
        <f>IFERROR(INDEX('Raw Data Input'!$I:$I,MATCH($D44,'Raw Data Input'!$D:$D,0)),0)</f>
        <v>2348951</v>
      </c>
      <c r="J44" s="84">
        <f>IFERROR(INDEX('Raw Data Input'!$J:$J,MATCH($D44,'Raw Data Input'!$D:$D,0)),0)</f>
        <v>1630013</v>
      </c>
      <c r="K44" s="84">
        <f>IFERROR(INDEX('Raw Data Input'!$K:$K,MATCH($D44,'Raw Data Input'!$D:$D,0)),0)</f>
        <v>0</v>
      </c>
      <c r="L44" s="84">
        <f>IFERROR(INDEX('Raw Data Input'!$L:$L,MATCH($D44,'Raw Data Input'!$D:$D,0)),0)</f>
        <v>4002542</v>
      </c>
      <c r="M44" s="84">
        <f>IFERROR(INDEX('Raw Data Input'!$M:$M,MATCH($D44,'Raw Data Input'!$D:$D,0)),0)</f>
        <v>-444890</v>
      </c>
      <c r="N44" s="84">
        <f>IFERROR(INDEX('Raw Data Input'!$N:$N,MATCH($D44,'Raw Data Input'!$D:$D,0)),0)</f>
        <v>69439</v>
      </c>
      <c r="O44" s="84">
        <f>IFERROR(INDEX('Raw Data Input'!$O:$O,MATCH($D44,'Raw Data Input'!$D:$D,0)),0)</f>
        <v>54706</v>
      </c>
      <c r="P44" s="84">
        <f>IFERROR(INDEX('Raw Data Input'!$P:$P,MATCH($D44,'Raw Data Input'!$D:$D,0)),0)</f>
        <v>50924</v>
      </c>
      <c r="Q44" s="84">
        <f>IFERROR(INDEX('Raw Data Input'!$Q:$Q,MATCH($D44,'Raw Data Input'!$D:$D,0)),0)</f>
        <v>3088402</v>
      </c>
      <c r="R44" s="84">
        <f>IFERROR(INDEX('Raw Data Input'!$R:$R,MATCH($D44,'Raw Data Input'!$D:$D,0)),0)</f>
        <v>62223</v>
      </c>
      <c r="S44" s="84">
        <f>IFERROR(INDEX('Raw Data Input'!$S:$S,MATCH($D44,'Raw Data Input'!$D:$D,0)),0)</f>
        <v>3175753</v>
      </c>
      <c r="T44" s="84">
        <f>IFERROR(INDEX('Raw Data Input'!$T:$T,MATCH($D44,'Raw Data Input'!$D:$D,0)),0)</f>
        <v>826789</v>
      </c>
      <c r="U44" s="84">
        <f>IFERROR(INDEX('Raw Data Input'!$F:$F,MATCH($E44,'Raw Data Input'!$D:$D,0)),0)</f>
        <v>20744046</v>
      </c>
      <c r="V44" s="84">
        <f>IFERROR(INDEX('Raw Data Input'!$G:$G,MATCH($E44,'Raw Data Input'!$D:$D,0)),0)</f>
        <v>-20104861</v>
      </c>
      <c r="W44" s="84">
        <f>IFERROR(INDEX('Raw Data Input'!$H:$H,MATCH($E44,'Raw Data Input'!$D:$D,0)),0)</f>
        <v>1669678</v>
      </c>
      <c r="X44" s="84">
        <f>IFERROR(INDEX('Raw Data Input'!$I:$I,MATCH($E44,'Raw Data Input'!$D:$D,0)),0)</f>
        <v>3170497</v>
      </c>
      <c r="Y44" s="84">
        <f>IFERROR(INDEX('Raw Data Input'!$J:$J,MATCH($E44,'Raw Data Input'!$D:$D,0)),0)</f>
        <v>1422560</v>
      </c>
      <c r="Z44" s="84">
        <f>IFERROR(INDEX('Raw Data Input'!$K:$K,MATCH($E44,'Raw Data Input'!$D:$D,0)),0)</f>
        <v>0</v>
      </c>
      <c r="AA44" s="84">
        <f>IFERROR(INDEX('Raw Data Input'!$L:$L,MATCH($E44,'Raw Data Input'!$D:$D,0)),0)</f>
        <v>4609544</v>
      </c>
      <c r="AB44" s="84">
        <f>IFERROR(INDEX('Raw Data Input'!$M:$M,MATCH($E44,'Raw Data Input'!$D:$D,0)),0)</f>
        <v>-359956</v>
      </c>
      <c r="AC44" s="84">
        <f>IFERROR(INDEX('Raw Data Input'!$N:$N,MATCH($E44,'Raw Data Input'!$D:$D,0)),0)</f>
        <v>63992</v>
      </c>
      <c r="AD44" s="84">
        <f>IFERROR(INDEX('Raw Data Input'!$O:$O,MATCH($E44,'Raw Data Input'!$D:$D,0)),0)</f>
        <v>123894</v>
      </c>
      <c r="AE44" s="84">
        <f>IFERROR(INDEX('Raw Data Input'!$P:$P,MATCH($E44,'Raw Data Input'!$D:$D,0)),0)</f>
        <v>652700</v>
      </c>
      <c r="AF44" s="84">
        <f>IFERROR(INDEX('Raw Data Input'!$Q:$Q,MATCH($E44,'Raw Data Input'!$D:$D,0)),0)</f>
        <v>3710849</v>
      </c>
      <c r="AG44" s="84">
        <f>IFERROR(INDEX('Raw Data Input'!$R:$R,MATCH($E44,'Raw Data Input'!$D:$D,0)),0)</f>
        <v>86291</v>
      </c>
      <c r="AH44" s="84">
        <f>IFERROR(INDEX('Raw Data Input'!$S:$S,MATCH($E44,'Raw Data Input'!$D:$D,0)),0)</f>
        <v>3820720</v>
      </c>
      <c r="AI44" s="84">
        <f>IFERROR(INDEX('Raw Data Input'!$T:$T,MATCH($E44,'Raw Data Input'!$D:$D,0)),0)</f>
        <v>788824</v>
      </c>
    </row>
    <row r="45" spans="1:35" ht="15" customHeight="1" x14ac:dyDescent="0.3">
      <c r="A45" s="85" t="s">
        <v>35</v>
      </c>
      <c r="B45" s="85" t="s">
        <v>36</v>
      </c>
      <c r="C45" s="86">
        <v>2019</v>
      </c>
      <c r="D45" s="87" t="str">
        <f t="shared" si="2"/>
        <v>MTNGH-2019</v>
      </c>
      <c r="E45" s="87" t="str">
        <f t="shared" si="3"/>
        <v>MTNGH-2018</v>
      </c>
      <c r="F45" s="88">
        <f>IFERROR(INDEX('Raw Data Input'!$F:$F,MATCH($D45,'Raw Data Input'!$D:$D,0)),0)</f>
        <v>5181836</v>
      </c>
      <c r="G45" s="88">
        <f>IFERROR(INDEX('Raw Data Input'!$G:$G,MATCH($D45,'Raw Data Input'!$D:$D,0)),0)</f>
        <v>-1005610</v>
      </c>
      <c r="H45" s="88">
        <f>IFERROR(INDEX('Raw Data Input'!$H:$H,MATCH($D45,'Raw Data Input'!$D:$D,0)),0)</f>
        <v>378431</v>
      </c>
      <c r="I45" s="88">
        <f>IFERROR(INDEX('Raw Data Input'!$I:$I,MATCH($D45,'Raw Data Input'!$D:$D,0)),0)</f>
        <v>4796628</v>
      </c>
      <c r="J45" s="88">
        <f>IFERROR(INDEX('Raw Data Input'!$J:$J,MATCH($D45,'Raw Data Input'!$D:$D,0)),0)</f>
        <v>5162022</v>
      </c>
      <c r="K45" s="88">
        <f>IFERROR(INDEX('Raw Data Input'!$K:$K,MATCH($D45,'Raw Data Input'!$D:$D,0)),0)</f>
        <v>0</v>
      </c>
      <c r="L45" s="88">
        <f>IFERROR(INDEX('Raw Data Input'!$L:$L,MATCH($D45,'Raw Data Input'!$D:$D,0)),0)</f>
        <v>9958650</v>
      </c>
      <c r="M45" s="88">
        <f>IFERROR(INDEX('Raw Data Input'!$M:$M,MATCH($D45,'Raw Data Input'!$D:$D,0)),0)</f>
        <v>-1545793</v>
      </c>
      <c r="N45" s="88">
        <f>IFERROR(INDEX('Raw Data Input'!$N:$N,MATCH($D45,'Raw Data Input'!$D:$D,0)),0)</f>
        <v>-801544</v>
      </c>
      <c r="O45" s="88">
        <f>IFERROR(INDEX('Raw Data Input'!$O:$O,MATCH($D45,'Raw Data Input'!$D:$D,0)),0)</f>
        <v>1007958</v>
      </c>
      <c r="P45" s="88">
        <f>IFERROR(INDEX('Raw Data Input'!$P:$P,MATCH($D45,'Raw Data Input'!$D:$D,0)),0)</f>
        <v>940283</v>
      </c>
      <c r="Q45" s="88">
        <f>IFERROR(INDEX('Raw Data Input'!$Q:$Q,MATCH($D45,'Raw Data Input'!$D:$D,0)),0)</f>
        <v>5020624</v>
      </c>
      <c r="R45" s="88">
        <f>IFERROR(INDEX('Raw Data Input'!$R:$R,MATCH($D45,'Raw Data Input'!$D:$D,0)),0)</f>
        <v>225421</v>
      </c>
      <c r="S45" s="88">
        <f>IFERROR(INDEX('Raw Data Input'!$S:$S,MATCH($D45,'Raw Data Input'!$D:$D,0)),0)</f>
        <v>7154824</v>
      </c>
      <c r="T45" s="88">
        <f>IFERROR(INDEX('Raw Data Input'!$T:$T,MATCH($D45,'Raw Data Input'!$D:$D,0)),0)</f>
        <v>2803826</v>
      </c>
      <c r="U45" s="88">
        <f>IFERROR(INDEX('Raw Data Input'!$F:$F,MATCH($E45,'Raw Data Input'!$D:$D,0)),0)</f>
        <v>4218847</v>
      </c>
      <c r="V45" s="88">
        <f>IFERROR(INDEX('Raw Data Input'!$G:$G,MATCH($E45,'Raw Data Input'!$D:$D,0)),0)</f>
        <v>-1358126</v>
      </c>
      <c r="W45" s="88">
        <f>IFERROR(INDEX('Raw Data Input'!$H:$H,MATCH($E45,'Raw Data Input'!$D:$D,0)),0)</f>
        <v>370038</v>
      </c>
      <c r="X45" s="88">
        <f>IFERROR(INDEX('Raw Data Input'!$I:$I,MATCH($E45,'Raw Data Input'!$D:$D,0)),0)</f>
        <v>1156334</v>
      </c>
      <c r="Y45" s="88">
        <f>IFERROR(INDEX('Raw Data Input'!$J:$J,MATCH($E45,'Raw Data Input'!$D:$D,0)),0)</f>
        <v>3060546</v>
      </c>
      <c r="Z45" s="88">
        <f>IFERROR(INDEX('Raw Data Input'!$K:$K,MATCH($E45,'Raw Data Input'!$D:$D,0)),0)</f>
        <v>0</v>
      </c>
      <c r="AA45" s="88">
        <f>IFERROR(INDEX('Raw Data Input'!$L:$L,MATCH($E45,'Raw Data Input'!$D:$D,0)),0)</f>
        <v>4216880</v>
      </c>
      <c r="AB45" s="88">
        <f>IFERROR(INDEX('Raw Data Input'!$M:$M,MATCH($E45,'Raw Data Input'!$D:$D,0)),0)</f>
        <v>-1273092</v>
      </c>
      <c r="AC45" s="88">
        <f>IFERROR(INDEX('Raw Data Input'!$N:$N,MATCH($E45,'Raw Data Input'!$D:$D,0)),0)</f>
        <v>-463567</v>
      </c>
      <c r="AD45" s="88">
        <f>IFERROR(INDEX('Raw Data Input'!$O:$O,MATCH($E45,'Raw Data Input'!$D:$D,0)),0)</f>
        <v>754676</v>
      </c>
      <c r="AE45" s="88">
        <f>IFERROR(INDEX('Raw Data Input'!$P:$P,MATCH($E45,'Raw Data Input'!$D:$D,0)),0)</f>
        <v>-203589</v>
      </c>
      <c r="AF45" s="88">
        <f>IFERROR(INDEX('Raw Data Input'!$Q:$Q,MATCH($E45,'Raw Data Input'!$D:$D,0)),0)</f>
        <v>1153398</v>
      </c>
      <c r="AG45" s="88">
        <f>IFERROR(INDEX('Raw Data Input'!$R:$R,MATCH($E45,'Raw Data Input'!$D:$D,0)),0)</f>
        <v>338854</v>
      </c>
      <c r="AH45" s="88">
        <f>IFERROR(INDEX('Raw Data Input'!$S:$S,MATCH($E45,'Raw Data Input'!$D:$D,0)),0)</f>
        <v>1806488</v>
      </c>
      <c r="AI45" s="88">
        <f>IFERROR(INDEX('Raw Data Input'!$T:$T,MATCH($E45,'Raw Data Input'!$D:$D,0)),0)</f>
        <v>2410392</v>
      </c>
    </row>
    <row r="46" spans="1:35" ht="15" customHeight="1" x14ac:dyDescent="0.3">
      <c r="A46" s="27" t="s">
        <v>35</v>
      </c>
      <c r="B46" s="27" t="s">
        <v>36</v>
      </c>
      <c r="C46" s="28">
        <v>2020</v>
      </c>
      <c r="D46" s="29" t="str">
        <f t="shared" si="2"/>
        <v>MTNGH-2020</v>
      </c>
      <c r="E46" s="29" t="str">
        <f t="shared" si="3"/>
        <v>MTNGH-2019</v>
      </c>
      <c r="F46" s="30">
        <f>IFERROR(INDEX('Raw Data Input'!$F:$F,MATCH($D46,'Raw Data Input'!$D:$D,0)),0)</f>
        <v>6033428</v>
      </c>
      <c r="G46" s="30">
        <f>IFERROR(INDEX('Raw Data Input'!$G:$G,MATCH($D46,'Raw Data Input'!$D:$D,0)),0)</f>
        <v>-1110488</v>
      </c>
      <c r="H46" s="30">
        <f>IFERROR(INDEX('Raw Data Input'!$H:$H,MATCH($D46,'Raw Data Input'!$D:$D,0)),0)</f>
        <v>475078</v>
      </c>
      <c r="I46" s="30">
        <f>IFERROR(INDEX('Raw Data Input'!$I:$I,MATCH($D46,'Raw Data Input'!$D:$D,0)),0)</f>
        <v>8441851</v>
      </c>
      <c r="J46" s="30">
        <f>IFERROR(INDEX('Raw Data Input'!$J:$J,MATCH($D46,'Raw Data Input'!$D:$D,0)),0)</f>
        <v>5775966</v>
      </c>
      <c r="K46" s="30">
        <f>IFERROR(INDEX('Raw Data Input'!$K:$K,MATCH($D46,'Raw Data Input'!$D:$D,0)),0)</f>
        <v>0</v>
      </c>
      <c r="L46" s="30">
        <f>IFERROR(INDEX('Raw Data Input'!$L:$L,MATCH($D46,'Raw Data Input'!$D:$D,0)),0)</f>
        <v>14217817</v>
      </c>
      <c r="M46" s="30">
        <f>IFERROR(INDEX('Raw Data Input'!$M:$M,MATCH($D46,'Raw Data Input'!$D:$D,0)),0)</f>
        <v>-1757506</v>
      </c>
      <c r="N46" s="30">
        <f>IFERROR(INDEX('Raw Data Input'!$N:$N,MATCH($D46,'Raw Data Input'!$D:$D,0)),0)</f>
        <v>-877453</v>
      </c>
      <c r="O46" s="30">
        <f>IFERROR(INDEX('Raw Data Input'!$O:$O,MATCH($D46,'Raw Data Input'!$D:$D,0)),0)</f>
        <v>1394895</v>
      </c>
      <c r="P46" s="30">
        <f>IFERROR(INDEX('Raw Data Input'!$P:$P,MATCH($D46,'Raw Data Input'!$D:$D,0)),0)</f>
        <v>959534</v>
      </c>
      <c r="Q46" s="30">
        <f>IFERROR(INDEX('Raw Data Input'!$Q:$Q,MATCH($D46,'Raw Data Input'!$D:$D,0)),0)</f>
        <v>8763908</v>
      </c>
      <c r="R46" s="30">
        <f>IFERROR(INDEX('Raw Data Input'!$R:$R,MATCH($D46,'Raw Data Input'!$D:$D,0)),0)</f>
        <v>557093</v>
      </c>
      <c r="S46" s="30">
        <f>IFERROR(INDEX('Raw Data Input'!$S:$S,MATCH($D46,'Raw Data Input'!$D:$D,0)),0)</f>
        <v>10878630</v>
      </c>
      <c r="T46" s="30">
        <f>IFERROR(INDEX('Raw Data Input'!$T:$T,MATCH($D46,'Raw Data Input'!$D:$D,0)),0)</f>
        <v>3339187</v>
      </c>
      <c r="U46" s="30">
        <f>IFERROR(INDEX('Raw Data Input'!$F:$F,MATCH($E46,'Raw Data Input'!$D:$D,0)),0)</f>
        <v>5181836</v>
      </c>
      <c r="V46" s="30">
        <f>IFERROR(INDEX('Raw Data Input'!$G:$G,MATCH($E46,'Raw Data Input'!$D:$D,0)),0)</f>
        <v>-1005610</v>
      </c>
      <c r="W46" s="30">
        <f>IFERROR(INDEX('Raw Data Input'!$H:$H,MATCH($E46,'Raw Data Input'!$D:$D,0)),0)</f>
        <v>378431</v>
      </c>
      <c r="X46" s="30">
        <f>IFERROR(INDEX('Raw Data Input'!$I:$I,MATCH($E46,'Raw Data Input'!$D:$D,0)),0)</f>
        <v>4796628</v>
      </c>
      <c r="Y46" s="30">
        <f>IFERROR(INDEX('Raw Data Input'!$J:$J,MATCH($E46,'Raw Data Input'!$D:$D,0)),0)</f>
        <v>5162022</v>
      </c>
      <c r="Z46" s="30">
        <f>IFERROR(INDEX('Raw Data Input'!$K:$K,MATCH($E46,'Raw Data Input'!$D:$D,0)),0)</f>
        <v>0</v>
      </c>
      <c r="AA46" s="30">
        <f>IFERROR(INDEX('Raw Data Input'!$L:$L,MATCH($E46,'Raw Data Input'!$D:$D,0)),0)</f>
        <v>9958650</v>
      </c>
      <c r="AB46" s="30">
        <f>IFERROR(INDEX('Raw Data Input'!$M:$M,MATCH($E46,'Raw Data Input'!$D:$D,0)),0)</f>
        <v>-1545793</v>
      </c>
      <c r="AC46" s="30">
        <f>IFERROR(INDEX('Raw Data Input'!$N:$N,MATCH($E46,'Raw Data Input'!$D:$D,0)),0)</f>
        <v>-801544</v>
      </c>
      <c r="AD46" s="30">
        <f>IFERROR(INDEX('Raw Data Input'!$O:$O,MATCH($E46,'Raw Data Input'!$D:$D,0)),0)</f>
        <v>1007958</v>
      </c>
      <c r="AE46" s="30">
        <f>IFERROR(INDEX('Raw Data Input'!$P:$P,MATCH($E46,'Raw Data Input'!$D:$D,0)),0)</f>
        <v>940283</v>
      </c>
      <c r="AF46" s="30">
        <f>IFERROR(INDEX('Raw Data Input'!$Q:$Q,MATCH($E46,'Raw Data Input'!$D:$D,0)),0)</f>
        <v>5020624</v>
      </c>
      <c r="AG46" s="30">
        <f>IFERROR(INDEX('Raw Data Input'!$R:$R,MATCH($E46,'Raw Data Input'!$D:$D,0)),0)</f>
        <v>225421</v>
      </c>
      <c r="AH46" s="30">
        <f>IFERROR(INDEX('Raw Data Input'!$S:$S,MATCH($E46,'Raw Data Input'!$D:$D,0)),0)</f>
        <v>7154824</v>
      </c>
      <c r="AI46" s="30">
        <f>IFERROR(INDEX('Raw Data Input'!$T:$T,MATCH($E46,'Raw Data Input'!$D:$D,0)),0)</f>
        <v>2803826</v>
      </c>
    </row>
    <row r="47" spans="1:35" ht="15" customHeight="1" x14ac:dyDescent="0.3">
      <c r="A47" s="27" t="s">
        <v>35</v>
      </c>
      <c r="B47" s="27" t="s">
        <v>36</v>
      </c>
      <c r="C47" s="28">
        <v>2021</v>
      </c>
      <c r="D47" s="29" t="str">
        <f t="shared" si="2"/>
        <v>MTNGH-2021</v>
      </c>
      <c r="E47" s="29" t="str">
        <f t="shared" si="3"/>
        <v>MTNGH-2020</v>
      </c>
      <c r="F47" s="30">
        <f>IFERROR(INDEX('Raw Data Input'!$F:$F,MATCH($D47,'Raw Data Input'!$D:$D,0)),0)</f>
        <v>7723259</v>
      </c>
      <c r="G47" s="30">
        <f>IFERROR(INDEX('Raw Data Input'!$G:$G,MATCH($D47,'Raw Data Input'!$D:$D,0)),0)</f>
        <v>-1358180</v>
      </c>
      <c r="H47" s="30">
        <f>IFERROR(INDEX('Raw Data Input'!$H:$H,MATCH($D47,'Raw Data Input'!$D:$D,0)),0)</f>
        <v>568461</v>
      </c>
      <c r="I47" s="30">
        <f>IFERROR(INDEX('Raw Data Input'!$I:$I,MATCH($D47,'Raw Data Input'!$D:$D,0)),0)</f>
        <v>11367783</v>
      </c>
      <c r="J47" s="30">
        <f>IFERROR(INDEX('Raw Data Input'!$J:$J,MATCH($D47,'Raw Data Input'!$D:$D,0)),0)</f>
        <v>3906148</v>
      </c>
      <c r="K47" s="30">
        <f>IFERROR(INDEX('Raw Data Input'!$K:$K,MATCH($D47,'Raw Data Input'!$D:$D,0)),0)</f>
        <v>0</v>
      </c>
      <c r="L47" s="30">
        <f>IFERROR(INDEX('Raw Data Input'!$L:$L,MATCH($D47,'Raw Data Input'!$D:$D,0)),0)</f>
        <v>17525409</v>
      </c>
      <c r="M47" s="30">
        <f>IFERROR(INDEX('Raw Data Input'!$M:$M,MATCH($D47,'Raw Data Input'!$D:$D,0)),0)</f>
        <v>-2115695</v>
      </c>
      <c r="N47" s="30">
        <f>IFERROR(INDEX('Raw Data Input'!$N:$N,MATCH($D47,'Raw Data Input'!$D:$D,0)),0)</f>
        <v>-1035557</v>
      </c>
      <c r="O47" s="30">
        <f>IFERROR(INDEX('Raw Data Input'!$O:$O,MATCH($D47,'Raw Data Input'!$D:$D,0)),0)</f>
        <v>2001383</v>
      </c>
      <c r="P47" s="30">
        <f>IFERROR(INDEX('Raw Data Input'!$P:$P,MATCH($D47,'Raw Data Input'!$D:$D,0)),0)</f>
        <v>2290809</v>
      </c>
      <c r="Q47" s="30">
        <f>IFERROR(INDEX('Raw Data Input'!$Q:$Q,MATCH($D47,'Raw Data Input'!$D:$D,0)),0)</f>
        <v>10951123</v>
      </c>
      <c r="R47" s="30">
        <f>IFERROR(INDEX('Raw Data Input'!$R:$R,MATCH($D47,'Raw Data Input'!$D:$D,0)),0)</f>
        <v>369774</v>
      </c>
      <c r="S47" s="30">
        <f>IFERROR(INDEX('Raw Data Input'!$S:$S,MATCH($D47,'Raw Data Input'!$D:$D,0)),0)</f>
        <v>13162111</v>
      </c>
      <c r="T47" s="30">
        <f>IFERROR(INDEX('Raw Data Input'!$T:$T,MATCH($D47,'Raw Data Input'!$D:$D,0)),0)</f>
        <v>4363298</v>
      </c>
      <c r="U47" s="30">
        <f>IFERROR(INDEX('Raw Data Input'!$F:$F,MATCH($E47,'Raw Data Input'!$D:$D,0)),0)</f>
        <v>6033428</v>
      </c>
      <c r="V47" s="30">
        <f>IFERROR(INDEX('Raw Data Input'!$G:$G,MATCH($E47,'Raw Data Input'!$D:$D,0)),0)</f>
        <v>-1110488</v>
      </c>
      <c r="W47" s="30">
        <f>IFERROR(INDEX('Raw Data Input'!$H:$H,MATCH($E47,'Raw Data Input'!$D:$D,0)),0)</f>
        <v>475078</v>
      </c>
      <c r="X47" s="30">
        <f>IFERROR(INDEX('Raw Data Input'!$I:$I,MATCH($E47,'Raw Data Input'!$D:$D,0)),0)</f>
        <v>8441851</v>
      </c>
      <c r="Y47" s="30">
        <f>IFERROR(INDEX('Raw Data Input'!$J:$J,MATCH($E47,'Raw Data Input'!$D:$D,0)),0)</f>
        <v>5775966</v>
      </c>
      <c r="Z47" s="30">
        <f>IFERROR(INDEX('Raw Data Input'!$K:$K,MATCH($E47,'Raw Data Input'!$D:$D,0)),0)</f>
        <v>0</v>
      </c>
      <c r="AA47" s="30">
        <f>IFERROR(INDEX('Raw Data Input'!$L:$L,MATCH($E47,'Raw Data Input'!$D:$D,0)),0)</f>
        <v>14217817</v>
      </c>
      <c r="AB47" s="30">
        <f>IFERROR(INDEX('Raw Data Input'!$M:$M,MATCH($E47,'Raw Data Input'!$D:$D,0)),0)</f>
        <v>-1757506</v>
      </c>
      <c r="AC47" s="30">
        <f>IFERROR(INDEX('Raw Data Input'!$N:$N,MATCH($E47,'Raw Data Input'!$D:$D,0)),0)</f>
        <v>-877453</v>
      </c>
      <c r="AD47" s="30">
        <f>IFERROR(INDEX('Raw Data Input'!$O:$O,MATCH($E47,'Raw Data Input'!$D:$D,0)),0)</f>
        <v>1394895</v>
      </c>
      <c r="AE47" s="30">
        <f>IFERROR(INDEX('Raw Data Input'!$P:$P,MATCH($E47,'Raw Data Input'!$D:$D,0)),0)</f>
        <v>959534</v>
      </c>
      <c r="AF47" s="30">
        <f>IFERROR(INDEX('Raw Data Input'!$Q:$Q,MATCH($E47,'Raw Data Input'!$D:$D,0)),0)</f>
        <v>8763908</v>
      </c>
      <c r="AG47" s="30">
        <f>IFERROR(INDEX('Raw Data Input'!$R:$R,MATCH($E47,'Raw Data Input'!$D:$D,0)),0)</f>
        <v>557093</v>
      </c>
      <c r="AH47" s="30">
        <f>IFERROR(INDEX('Raw Data Input'!$S:$S,MATCH($E47,'Raw Data Input'!$D:$D,0)),0)</f>
        <v>10878630</v>
      </c>
      <c r="AI47" s="30">
        <f>IFERROR(INDEX('Raw Data Input'!$T:$T,MATCH($E47,'Raw Data Input'!$D:$D,0)),0)</f>
        <v>3339187</v>
      </c>
    </row>
    <row r="48" spans="1:35" ht="15" customHeight="1" x14ac:dyDescent="0.3">
      <c r="A48" s="27" t="s">
        <v>35</v>
      </c>
      <c r="B48" s="27" t="s">
        <v>36</v>
      </c>
      <c r="C48" s="28">
        <v>2022</v>
      </c>
      <c r="D48" s="29" t="str">
        <f t="shared" si="2"/>
        <v>MTNGH-2022</v>
      </c>
      <c r="E48" s="29" t="str">
        <f t="shared" si="3"/>
        <v>MTNGH-2021</v>
      </c>
      <c r="F48" s="30">
        <f>IFERROR(INDEX('Raw Data Input'!$F:$F,MATCH($D48,'Raw Data Input'!$D:$D,0)),0)</f>
        <v>9916109</v>
      </c>
      <c r="G48" s="30">
        <f>IFERROR(INDEX('Raw Data Input'!$G:$G,MATCH($D48,'Raw Data Input'!$D:$D,0)),0)</f>
        <v>-1549732</v>
      </c>
      <c r="H48" s="30">
        <f>IFERROR(INDEX('Raw Data Input'!$H:$H,MATCH($D48,'Raw Data Input'!$D:$D,0)),0)</f>
        <v>773373</v>
      </c>
      <c r="I48" s="30">
        <f>IFERROR(INDEX('Raw Data Input'!$I:$I,MATCH($D48,'Raw Data Input'!$D:$D,0)),0)</f>
        <v>14922113</v>
      </c>
      <c r="J48" s="30">
        <f>IFERROR(INDEX('Raw Data Input'!$J:$J,MATCH($D48,'Raw Data Input'!$D:$D,0)),0)</f>
        <v>4981038</v>
      </c>
      <c r="K48" s="30">
        <f>IFERROR(INDEX('Raw Data Input'!$K:$K,MATCH($D48,'Raw Data Input'!$D:$D,0)),0)</f>
        <v>20000</v>
      </c>
      <c r="L48" s="30">
        <f>IFERROR(INDEX('Raw Data Input'!$L:$L,MATCH($D48,'Raw Data Input'!$D:$D,0)),0)</f>
        <v>22063875</v>
      </c>
      <c r="M48" s="30">
        <f>IFERROR(INDEX('Raw Data Input'!$M:$M,MATCH($D48,'Raw Data Input'!$D:$D,0)),0)</f>
        <v>-2803497</v>
      </c>
      <c r="N48" s="30">
        <f>IFERROR(INDEX('Raw Data Input'!$N:$N,MATCH($D48,'Raw Data Input'!$D:$D,0)),0)</f>
        <v>-1198679</v>
      </c>
      <c r="O48" s="30">
        <f>IFERROR(INDEX('Raw Data Input'!$O:$O,MATCH($D48,'Raw Data Input'!$D:$D,0)),0)</f>
        <v>2855801</v>
      </c>
      <c r="P48" s="30">
        <f>IFERROR(INDEX('Raw Data Input'!$P:$P,MATCH($D48,'Raw Data Input'!$D:$D,0)),0)</f>
        <v>3471515</v>
      </c>
      <c r="Q48" s="30">
        <f>IFERROR(INDEX('Raw Data Input'!$Q:$Q,MATCH($D48,'Raw Data Input'!$D:$D,0)),0)</f>
        <v>14206699</v>
      </c>
      <c r="R48" s="30">
        <f>IFERROR(INDEX('Raw Data Input'!$R:$R,MATCH($D48,'Raw Data Input'!$D:$D,0)),0)</f>
        <v>222318</v>
      </c>
      <c r="S48" s="30">
        <f>IFERROR(INDEX('Raw Data Input'!$S:$S,MATCH($D48,'Raw Data Input'!$D:$D,0)),0)</f>
        <v>16354175</v>
      </c>
      <c r="T48" s="30">
        <f>IFERROR(INDEX('Raw Data Input'!$T:$T,MATCH($D48,'Raw Data Input'!$D:$D,0)),0)</f>
        <v>5709700</v>
      </c>
      <c r="U48" s="30">
        <f>IFERROR(INDEX('Raw Data Input'!$F:$F,MATCH($E48,'Raw Data Input'!$D:$D,0)),0)</f>
        <v>7723259</v>
      </c>
      <c r="V48" s="30">
        <f>IFERROR(INDEX('Raw Data Input'!$G:$G,MATCH($E48,'Raw Data Input'!$D:$D,0)),0)</f>
        <v>-1358180</v>
      </c>
      <c r="W48" s="30">
        <f>IFERROR(INDEX('Raw Data Input'!$H:$H,MATCH($E48,'Raw Data Input'!$D:$D,0)),0)</f>
        <v>568461</v>
      </c>
      <c r="X48" s="30">
        <f>IFERROR(INDEX('Raw Data Input'!$I:$I,MATCH($E48,'Raw Data Input'!$D:$D,0)),0)</f>
        <v>11367783</v>
      </c>
      <c r="Y48" s="30">
        <f>IFERROR(INDEX('Raw Data Input'!$J:$J,MATCH($E48,'Raw Data Input'!$D:$D,0)),0)</f>
        <v>3906148</v>
      </c>
      <c r="Z48" s="30">
        <f>IFERROR(INDEX('Raw Data Input'!$K:$K,MATCH($E48,'Raw Data Input'!$D:$D,0)),0)</f>
        <v>0</v>
      </c>
      <c r="AA48" s="30">
        <f>IFERROR(INDEX('Raw Data Input'!$L:$L,MATCH($E48,'Raw Data Input'!$D:$D,0)),0)</f>
        <v>17525409</v>
      </c>
      <c r="AB48" s="30">
        <f>IFERROR(INDEX('Raw Data Input'!$M:$M,MATCH($E48,'Raw Data Input'!$D:$D,0)),0)</f>
        <v>-2115695</v>
      </c>
      <c r="AC48" s="30">
        <f>IFERROR(INDEX('Raw Data Input'!$N:$N,MATCH($E48,'Raw Data Input'!$D:$D,0)),0)</f>
        <v>-1035557</v>
      </c>
      <c r="AD48" s="30">
        <f>IFERROR(INDEX('Raw Data Input'!$O:$O,MATCH($E48,'Raw Data Input'!$D:$D,0)),0)</f>
        <v>2001383</v>
      </c>
      <c r="AE48" s="30">
        <f>IFERROR(INDEX('Raw Data Input'!$P:$P,MATCH($E48,'Raw Data Input'!$D:$D,0)),0)</f>
        <v>2290809</v>
      </c>
      <c r="AF48" s="30">
        <f>IFERROR(INDEX('Raw Data Input'!$Q:$Q,MATCH($E48,'Raw Data Input'!$D:$D,0)),0)</f>
        <v>10951123</v>
      </c>
      <c r="AG48" s="30">
        <f>IFERROR(INDEX('Raw Data Input'!$R:$R,MATCH($E48,'Raw Data Input'!$D:$D,0)),0)</f>
        <v>369774</v>
      </c>
      <c r="AH48" s="30">
        <f>IFERROR(INDEX('Raw Data Input'!$S:$S,MATCH($E48,'Raw Data Input'!$D:$D,0)),0)</f>
        <v>13162111</v>
      </c>
      <c r="AI48" s="30">
        <f>IFERROR(INDEX('Raw Data Input'!$T:$T,MATCH($E48,'Raw Data Input'!$D:$D,0)),0)</f>
        <v>4363298</v>
      </c>
    </row>
    <row r="49" spans="1:35" ht="15" customHeight="1" thickBot="1" x14ac:dyDescent="0.35">
      <c r="A49" s="70" t="s">
        <v>35</v>
      </c>
      <c r="B49" s="70" t="s">
        <v>36</v>
      </c>
      <c r="C49" s="71">
        <v>2023</v>
      </c>
      <c r="D49" s="72" t="str">
        <f t="shared" si="2"/>
        <v>MTNGH-2023</v>
      </c>
      <c r="E49" s="72" t="str">
        <f t="shared" si="3"/>
        <v>MTNGH-2022</v>
      </c>
      <c r="F49" s="73">
        <f>IFERROR(INDEX('Raw Data Input'!$F:$F,MATCH($D49,'Raw Data Input'!$D:$D,0)),0)</f>
        <v>13349471</v>
      </c>
      <c r="G49" s="73">
        <f>IFERROR(INDEX('Raw Data Input'!$G:$G,MATCH($D49,'Raw Data Input'!$D:$D,0)),0)</f>
        <v>-2280410</v>
      </c>
      <c r="H49" s="73">
        <f>IFERROR(INDEX('Raw Data Input'!$H:$H,MATCH($D49,'Raw Data Input'!$D:$D,0)),0)</f>
        <v>1020917</v>
      </c>
      <c r="I49" s="73">
        <f>IFERROR(INDEX('Raw Data Input'!$I:$I,MATCH($D49,'Raw Data Input'!$D:$D,0)),0)</f>
        <v>21410005</v>
      </c>
      <c r="J49" s="73">
        <f>IFERROR(INDEX('Raw Data Input'!$J:$J,MATCH($D49,'Raw Data Input'!$D:$D,0)),0)</f>
        <v>6432554</v>
      </c>
      <c r="K49" s="73">
        <f>IFERROR(INDEX('Raw Data Input'!$K:$K,MATCH($D49,'Raw Data Input'!$D:$D,0)),0)</f>
        <v>20000</v>
      </c>
      <c r="L49" s="73">
        <f>IFERROR(INDEX('Raw Data Input'!$L:$L,MATCH($D49,'Raw Data Input'!$D:$D,0)),0)</f>
        <v>30958441</v>
      </c>
      <c r="M49" s="73">
        <f>IFERROR(INDEX('Raw Data Input'!$M:$M,MATCH($D49,'Raw Data Input'!$D:$D,0)),0)</f>
        <v>-3270056</v>
      </c>
      <c r="N49" s="73">
        <f>IFERROR(INDEX('Raw Data Input'!$N:$N,MATCH($D49,'Raw Data Input'!$D:$D,0)),0)</f>
        <v>-1724598</v>
      </c>
      <c r="O49" s="73">
        <f>IFERROR(INDEX('Raw Data Input'!$O:$O,MATCH($D49,'Raw Data Input'!$D:$D,0)),0)</f>
        <v>3982250</v>
      </c>
      <c r="P49" s="73">
        <f>IFERROR(INDEX('Raw Data Input'!$P:$P,MATCH($D49,'Raw Data Input'!$D:$D,0)),0)</f>
        <v>7867054</v>
      </c>
      <c r="Q49" s="73">
        <f>IFERROR(INDEX('Raw Data Input'!$Q:$Q,MATCH($D49,'Raw Data Input'!$D:$D,0)),0)</f>
        <v>19635869</v>
      </c>
      <c r="R49" s="73">
        <f>IFERROR(INDEX('Raw Data Input'!$R:$R,MATCH($D49,'Raw Data Input'!$D:$D,0)),0)</f>
        <v>73422</v>
      </c>
      <c r="S49" s="73">
        <f>IFERROR(INDEX('Raw Data Input'!$S:$S,MATCH($D49,'Raw Data Input'!$D:$D,0)),0)</f>
        <v>22339367</v>
      </c>
      <c r="T49" s="73">
        <f>IFERROR(INDEX('Raw Data Input'!$T:$T,MATCH($D49,'Raw Data Input'!$D:$D,0)),0)</f>
        <v>8619074</v>
      </c>
      <c r="U49" s="73">
        <f>IFERROR(INDEX('Raw Data Input'!$F:$F,MATCH($E49,'Raw Data Input'!$D:$D,0)),0)</f>
        <v>9916109</v>
      </c>
      <c r="V49" s="73">
        <f>IFERROR(INDEX('Raw Data Input'!$G:$G,MATCH($E49,'Raw Data Input'!$D:$D,0)),0)</f>
        <v>-1549732</v>
      </c>
      <c r="W49" s="73">
        <f>IFERROR(INDEX('Raw Data Input'!$H:$H,MATCH($E49,'Raw Data Input'!$D:$D,0)),0)</f>
        <v>773373</v>
      </c>
      <c r="X49" s="73">
        <f>IFERROR(INDEX('Raw Data Input'!$I:$I,MATCH($E49,'Raw Data Input'!$D:$D,0)),0)</f>
        <v>14922113</v>
      </c>
      <c r="Y49" s="73">
        <f>IFERROR(INDEX('Raw Data Input'!$J:$J,MATCH($E49,'Raw Data Input'!$D:$D,0)),0)</f>
        <v>4981038</v>
      </c>
      <c r="Z49" s="73">
        <f>IFERROR(INDEX('Raw Data Input'!$K:$K,MATCH($E49,'Raw Data Input'!$D:$D,0)),0)</f>
        <v>20000</v>
      </c>
      <c r="AA49" s="73">
        <f>IFERROR(INDEX('Raw Data Input'!$L:$L,MATCH($E49,'Raw Data Input'!$D:$D,0)),0)</f>
        <v>22063875</v>
      </c>
      <c r="AB49" s="73">
        <f>IFERROR(INDEX('Raw Data Input'!$M:$M,MATCH($E49,'Raw Data Input'!$D:$D,0)),0)</f>
        <v>-2803497</v>
      </c>
      <c r="AC49" s="73">
        <f>IFERROR(INDEX('Raw Data Input'!$N:$N,MATCH($E49,'Raw Data Input'!$D:$D,0)),0)</f>
        <v>-1198679</v>
      </c>
      <c r="AD49" s="73">
        <f>IFERROR(INDEX('Raw Data Input'!$O:$O,MATCH($E49,'Raw Data Input'!$D:$D,0)),0)</f>
        <v>2855801</v>
      </c>
      <c r="AE49" s="73">
        <f>IFERROR(INDEX('Raw Data Input'!$P:$P,MATCH($E49,'Raw Data Input'!$D:$D,0)),0)</f>
        <v>3471515</v>
      </c>
      <c r="AF49" s="73">
        <f>IFERROR(INDEX('Raw Data Input'!$Q:$Q,MATCH($E49,'Raw Data Input'!$D:$D,0)),0)</f>
        <v>14206699</v>
      </c>
      <c r="AG49" s="73">
        <f>IFERROR(INDEX('Raw Data Input'!$R:$R,MATCH($E49,'Raw Data Input'!$D:$D,0)),0)</f>
        <v>222318</v>
      </c>
      <c r="AH49" s="73">
        <f>IFERROR(INDEX('Raw Data Input'!$S:$S,MATCH($E49,'Raw Data Input'!$D:$D,0)),0)</f>
        <v>16354175</v>
      </c>
      <c r="AI49" s="73">
        <f>IFERROR(INDEX('Raw Data Input'!$T:$T,MATCH($E49,'Raw Data Input'!$D:$D,0)),0)</f>
        <v>5709700</v>
      </c>
    </row>
    <row r="50" spans="1:35" ht="15" customHeight="1" x14ac:dyDescent="0.3">
      <c r="A50" s="77" t="s">
        <v>38</v>
      </c>
      <c r="B50" s="77" t="s">
        <v>39</v>
      </c>
      <c r="C50" s="78">
        <v>2019</v>
      </c>
      <c r="D50" s="79" t="str">
        <f t="shared" si="2"/>
        <v>PBC-2019</v>
      </c>
      <c r="E50" s="79" t="str">
        <f t="shared" si="3"/>
        <v>PBC-2018</v>
      </c>
      <c r="F50" s="80">
        <f>IFERROR(INDEX('Raw Data Input'!$F:$F,MATCH($D50,'Raw Data Input'!$D:$D,0)),0)</f>
        <v>1162861</v>
      </c>
      <c r="G50" s="80">
        <f>IFERROR(INDEX('Raw Data Input'!$G:$G,MATCH($D50,'Raw Data Input'!$D:$D,0)),0)</f>
        <v>-1050775</v>
      </c>
      <c r="H50" s="80">
        <f>IFERROR(INDEX('Raw Data Input'!$H:$H,MATCH($D50,'Raw Data Input'!$D:$D,0)),0)</f>
        <v>11455</v>
      </c>
      <c r="I50" s="80">
        <f>IFERROR(INDEX('Raw Data Input'!$I:$I,MATCH($D50,'Raw Data Input'!$D:$D,0)),0)</f>
        <v>209165</v>
      </c>
      <c r="J50" s="80">
        <f>IFERROR(INDEX('Raw Data Input'!$J:$J,MATCH($D50,'Raw Data Input'!$D:$D,0)),0)</f>
        <v>362521</v>
      </c>
      <c r="K50" s="80">
        <f>IFERROR(INDEX('Raw Data Input'!$K:$K,MATCH($D50,'Raw Data Input'!$D:$D,0)),0)</f>
        <v>1868</v>
      </c>
      <c r="L50" s="80">
        <f>IFERROR(INDEX('Raw Data Input'!$L:$L,MATCH($D50,'Raw Data Input'!$D:$D,0)),0)</f>
        <v>578641</v>
      </c>
      <c r="M50" s="80">
        <f>IFERROR(INDEX('Raw Data Input'!$M:$M,MATCH($D50,'Raw Data Input'!$D:$D,0)),0)</f>
        <v>-100718</v>
      </c>
      <c r="N50" s="80">
        <f>IFERROR(INDEX('Raw Data Input'!$N:$N,MATCH($D50,'Raw Data Input'!$D:$D,0)),0)</f>
        <v>26252</v>
      </c>
      <c r="O50" s="80">
        <f>IFERROR(INDEX('Raw Data Input'!$O:$O,MATCH($D50,'Raw Data Input'!$D:$D,0)),0)</f>
        <v>146816</v>
      </c>
      <c r="P50" s="80">
        <f>IFERROR(INDEX('Raw Data Input'!$P:$P,MATCH($D50,'Raw Data Input'!$D:$D,0)),0)</f>
        <v>149316</v>
      </c>
      <c r="Q50" s="80">
        <f>IFERROR(INDEX('Raw Data Input'!$Q:$Q,MATCH($D50,'Raw Data Input'!$D:$D,0)),0)</f>
        <v>189415</v>
      </c>
      <c r="R50" s="80">
        <f>IFERROR(INDEX('Raw Data Input'!$R:$R,MATCH($D50,'Raw Data Input'!$D:$D,0)),0)</f>
        <v>558739</v>
      </c>
      <c r="S50" s="80">
        <f>IFERROR(INDEX('Raw Data Input'!$S:$S,MATCH($D50,'Raw Data Input'!$D:$D,0)),0)</f>
        <v>748567</v>
      </c>
      <c r="T50" s="80">
        <f>IFERROR(INDEX('Raw Data Input'!$T:$T,MATCH($D50,'Raw Data Input'!$D:$D,0)),0)</f>
        <v>-169926</v>
      </c>
      <c r="U50" s="80">
        <f>IFERROR(INDEX('Raw Data Input'!$F:$F,MATCH($E50,'Raw Data Input'!$D:$D,0)),0)</f>
        <v>1830507</v>
      </c>
      <c r="V50" s="80">
        <f>IFERROR(INDEX('Raw Data Input'!$G:$G,MATCH($E50,'Raw Data Input'!$D:$D,0)),0)</f>
        <v>-1647318</v>
      </c>
      <c r="W50" s="80">
        <f>IFERROR(INDEX('Raw Data Input'!$H:$H,MATCH($E50,'Raw Data Input'!$D:$D,0)),0)</f>
        <v>122980</v>
      </c>
      <c r="X50" s="80">
        <f>IFERROR(INDEX('Raw Data Input'!$I:$I,MATCH($E50,'Raw Data Input'!$D:$D,0)),0)</f>
        <v>292812</v>
      </c>
      <c r="Y50" s="80">
        <f>IFERROR(INDEX('Raw Data Input'!$J:$J,MATCH($E50,'Raw Data Input'!$D:$D,0)),0)</f>
        <v>374640</v>
      </c>
      <c r="Z50" s="80">
        <f>IFERROR(INDEX('Raw Data Input'!$K:$K,MATCH($E50,'Raw Data Input'!$D:$D,0)),0)</f>
        <v>0</v>
      </c>
      <c r="AA50" s="80">
        <f>IFERROR(INDEX('Raw Data Input'!$L:$L,MATCH($E50,'Raw Data Input'!$D:$D,0)),0)</f>
        <v>672534</v>
      </c>
      <c r="AB50" s="80">
        <f>IFERROR(INDEX('Raw Data Input'!$M:$M,MATCH($E50,'Raw Data Input'!$D:$D,0)),0)</f>
        <v>-153972</v>
      </c>
      <c r="AC50" s="80">
        <f>IFERROR(INDEX('Raw Data Input'!$N:$N,MATCH($E50,'Raw Data Input'!$D:$D,0)),0)</f>
        <v>28436</v>
      </c>
      <c r="AD50" s="80">
        <f>IFERROR(INDEX('Raw Data Input'!$O:$O,MATCH($E50,'Raw Data Input'!$D:$D,0)),0)</f>
        <v>-174447</v>
      </c>
      <c r="AE50" s="80">
        <f>IFERROR(INDEX('Raw Data Input'!$P:$P,MATCH($E50,'Raw Data Input'!$D:$D,0)),0)</f>
        <v>128176</v>
      </c>
      <c r="AF50" s="80">
        <f>IFERROR(INDEX('Raw Data Input'!$Q:$Q,MATCH($E50,'Raw Data Input'!$D:$D,0)),0)</f>
        <v>503938</v>
      </c>
      <c r="AG50" s="80">
        <f>IFERROR(INDEX('Raw Data Input'!$R:$R,MATCH($E50,'Raw Data Input'!$D:$D,0)),0)</f>
        <v>293666</v>
      </c>
      <c r="AH50" s="80">
        <f>IFERROR(INDEX('Raw Data Input'!$S:$S,MATCH($E50,'Raw Data Input'!$D:$D,0)),0)</f>
        <v>810163</v>
      </c>
      <c r="AI50" s="80">
        <f>IFERROR(INDEX('Raw Data Input'!$T:$T,MATCH($E50,'Raw Data Input'!$D:$D,0)),0)</f>
        <v>-137629</v>
      </c>
    </row>
    <row r="51" spans="1:35" ht="15" customHeight="1" x14ac:dyDescent="0.3">
      <c r="A51" s="27" t="s">
        <v>38</v>
      </c>
      <c r="B51" s="27" t="s">
        <v>39</v>
      </c>
      <c r="C51" s="28">
        <v>2020</v>
      </c>
      <c r="D51" s="29" t="str">
        <f t="shared" si="2"/>
        <v>PBC-2020</v>
      </c>
      <c r="E51" s="29" t="str">
        <f t="shared" si="3"/>
        <v>PBC-2019</v>
      </c>
      <c r="F51" s="30">
        <f>IFERROR(INDEX('Raw Data Input'!$F:$F,MATCH($D51,'Raw Data Input'!$D:$D,0)),0)</f>
        <v>1001069</v>
      </c>
      <c r="G51" s="30">
        <f>IFERROR(INDEX('Raw Data Input'!$G:$G,MATCH($D51,'Raw Data Input'!$D:$D,0)),0)</f>
        <v>-893187</v>
      </c>
      <c r="H51" s="30">
        <f>IFERROR(INDEX('Raw Data Input'!$H:$H,MATCH($D51,'Raw Data Input'!$D:$D,0)),0)</f>
        <v>3907</v>
      </c>
      <c r="I51" s="30">
        <f>IFERROR(INDEX('Raw Data Input'!$I:$I,MATCH($D51,'Raw Data Input'!$D:$D,0)),0)</f>
        <v>252748</v>
      </c>
      <c r="J51" s="30">
        <f>IFERROR(INDEX('Raw Data Input'!$J:$J,MATCH($D51,'Raw Data Input'!$D:$D,0)),0)</f>
        <v>339108</v>
      </c>
      <c r="K51" s="30">
        <f>IFERROR(INDEX('Raw Data Input'!$K:$K,MATCH($D51,'Raw Data Input'!$D:$D,0)),0)</f>
        <v>0</v>
      </c>
      <c r="L51" s="30">
        <f>IFERROR(INDEX('Raw Data Input'!$L:$L,MATCH($D51,'Raw Data Input'!$D:$D,0)),0)</f>
        <v>597073</v>
      </c>
      <c r="M51" s="30">
        <f>IFERROR(INDEX('Raw Data Input'!$M:$M,MATCH($D51,'Raw Data Input'!$D:$D,0)),0)</f>
        <v>-119769</v>
      </c>
      <c r="N51" s="30">
        <f>IFERROR(INDEX('Raw Data Input'!$N:$N,MATCH($D51,'Raw Data Input'!$D:$D,0)),0)</f>
        <v>25298</v>
      </c>
      <c r="O51" s="30">
        <f>IFERROR(INDEX('Raw Data Input'!$O:$O,MATCH($D51,'Raw Data Input'!$D:$D,0)),0)</f>
        <v>-7438</v>
      </c>
      <c r="P51" s="30">
        <f>IFERROR(INDEX('Raw Data Input'!$P:$P,MATCH($D51,'Raw Data Input'!$D:$D,0)),0)</f>
        <v>130295</v>
      </c>
      <c r="Q51" s="30">
        <f>IFERROR(INDEX('Raw Data Input'!$Q:$Q,MATCH($D51,'Raw Data Input'!$D:$D,0)),0)</f>
        <v>264322</v>
      </c>
      <c r="R51" s="30">
        <f>IFERROR(INDEX('Raw Data Input'!$R:$R,MATCH($D51,'Raw Data Input'!$D:$D,0)),0)</f>
        <v>504299</v>
      </c>
      <c r="S51" s="30">
        <f>IFERROR(INDEX('Raw Data Input'!$S:$S,MATCH($D51,'Raw Data Input'!$D:$D,0)),0)</f>
        <v>773184</v>
      </c>
      <c r="T51" s="30">
        <f>IFERROR(INDEX('Raw Data Input'!$T:$T,MATCH($D51,'Raw Data Input'!$D:$D,0)),0)</f>
        <v>-176110</v>
      </c>
      <c r="U51" s="30">
        <f>IFERROR(INDEX('Raw Data Input'!$F:$F,MATCH($E51,'Raw Data Input'!$D:$D,0)),0)</f>
        <v>1162861</v>
      </c>
      <c r="V51" s="30">
        <f>IFERROR(INDEX('Raw Data Input'!$G:$G,MATCH($E51,'Raw Data Input'!$D:$D,0)),0)</f>
        <v>-1050775</v>
      </c>
      <c r="W51" s="30">
        <f>IFERROR(INDEX('Raw Data Input'!$H:$H,MATCH($E51,'Raw Data Input'!$D:$D,0)),0)</f>
        <v>11455</v>
      </c>
      <c r="X51" s="30">
        <f>IFERROR(INDEX('Raw Data Input'!$I:$I,MATCH($E51,'Raw Data Input'!$D:$D,0)),0)</f>
        <v>209165</v>
      </c>
      <c r="Y51" s="30">
        <f>IFERROR(INDEX('Raw Data Input'!$J:$J,MATCH($E51,'Raw Data Input'!$D:$D,0)),0)</f>
        <v>362521</v>
      </c>
      <c r="Z51" s="30">
        <f>IFERROR(INDEX('Raw Data Input'!$K:$K,MATCH($E51,'Raw Data Input'!$D:$D,0)),0)</f>
        <v>1868</v>
      </c>
      <c r="AA51" s="30">
        <f>IFERROR(INDEX('Raw Data Input'!$L:$L,MATCH($E51,'Raw Data Input'!$D:$D,0)),0)</f>
        <v>578641</v>
      </c>
      <c r="AB51" s="30">
        <f>IFERROR(INDEX('Raw Data Input'!$M:$M,MATCH($E51,'Raw Data Input'!$D:$D,0)),0)</f>
        <v>-100718</v>
      </c>
      <c r="AC51" s="30">
        <f>IFERROR(INDEX('Raw Data Input'!$N:$N,MATCH($E51,'Raw Data Input'!$D:$D,0)),0)</f>
        <v>26252</v>
      </c>
      <c r="AD51" s="30">
        <f>IFERROR(INDEX('Raw Data Input'!$O:$O,MATCH($E51,'Raw Data Input'!$D:$D,0)),0)</f>
        <v>146816</v>
      </c>
      <c r="AE51" s="30">
        <f>IFERROR(INDEX('Raw Data Input'!$P:$P,MATCH($E51,'Raw Data Input'!$D:$D,0)),0)</f>
        <v>149316</v>
      </c>
      <c r="AF51" s="30">
        <f>IFERROR(INDEX('Raw Data Input'!$Q:$Q,MATCH($E51,'Raw Data Input'!$D:$D,0)),0)</f>
        <v>189415</v>
      </c>
      <c r="AG51" s="30">
        <f>IFERROR(INDEX('Raw Data Input'!$R:$R,MATCH($E51,'Raw Data Input'!$D:$D,0)),0)</f>
        <v>558739</v>
      </c>
      <c r="AH51" s="30">
        <f>IFERROR(INDEX('Raw Data Input'!$S:$S,MATCH($E51,'Raw Data Input'!$D:$D,0)),0)</f>
        <v>748567</v>
      </c>
      <c r="AI51" s="30">
        <f>IFERROR(INDEX('Raw Data Input'!$T:$T,MATCH($E51,'Raw Data Input'!$D:$D,0)),0)</f>
        <v>-169926</v>
      </c>
    </row>
    <row r="52" spans="1:35" ht="15" customHeight="1" x14ac:dyDescent="0.3">
      <c r="A52" s="27" t="s">
        <v>38</v>
      </c>
      <c r="B52" s="27" t="s">
        <v>39</v>
      </c>
      <c r="C52" s="28">
        <v>2021</v>
      </c>
      <c r="D52" s="29" t="str">
        <f t="shared" si="2"/>
        <v>PBC-2021</v>
      </c>
      <c r="E52" s="29" t="str">
        <f t="shared" si="3"/>
        <v>PBC-2020</v>
      </c>
      <c r="F52" s="30">
        <f>IFERROR(INDEX('Raw Data Input'!$F:$F,MATCH($D52,'Raw Data Input'!$D:$D,0)),0)</f>
        <v>1255600</v>
      </c>
      <c r="G52" s="30">
        <f>IFERROR(INDEX('Raw Data Input'!$G:$G,MATCH($D52,'Raw Data Input'!$D:$D,0)),0)</f>
        <v>-1136231</v>
      </c>
      <c r="H52" s="30">
        <f>IFERROR(INDEX('Raw Data Input'!$H:$H,MATCH($D52,'Raw Data Input'!$D:$D,0)),0)</f>
        <v>4079</v>
      </c>
      <c r="I52" s="30">
        <f>IFERROR(INDEX('Raw Data Input'!$I:$I,MATCH($D52,'Raw Data Input'!$D:$D,0)),0)</f>
        <v>114825</v>
      </c>
      <c r="J52" s="30">
        <f>IFERROR(INDEX('Raw Data Input'!$J:$J,MATCH($D52,'Raw Data Input'!$D:$D,0)),0)</f>
        <v>305869</v>
      </c>
      <c r="K52" s="30">
        <f>IFERROR(INDEX('Raw Data Input'!$K:$K,MATCH($D52,'Raw Data Input'!$D:$D,0)),0)</f>
        <v>0</v>
      </c>
      <c r="L52" s="30">
        <f>IFERROR(INDEX('Raw Data Input'!$L:$L,MATCH($D52,'Raw Data Input'!$D:$D,0)),0)</f>
        <v>424924</v>
      </c>
      <c r="M52" s="30">
        <f>IFERROR(INDEX('Raw Data Input'!$M:$M,MATCH($D52,'Raw Data Input'!$D:$D,0)),0)</f>
        <v>-110940</v>
      </c>
      <c r="N52" s="30">
        <f>IFERROR(INDEX('Raw Data Input'!$N:$N,MATCH($D52,'Raw Data Input'!$D:$D,0)),0)</f>
        <v>18893</v>
      </c>
      <c r="O52" s="30">
        <f>IFERROR(INDEX('Raw Data Input'!$O:$O,MATCH($D52,'Raw Data Input'!$D:$D,0)),0)</f>
        <v>-5654</v>
      </c>
      <c r="P52" s="30">
        <f>IFERROR(INDEX('Raw Data Input'!$P:$P,MATCH($D52,'Raw Data Input'!$D:$D,0)),0)</f>
        <v>27873</v>
      </c>
      <c r="Q52" s="30">
        <f>IFERROR(INDEX('Raw Data Input'!$Q:$Q,MATCH($D52,'Raw Data Input'!$D:$D,0)),0)</f>
        <v>287321</v>
      </c>
      <c r="R52" s="30">
        <f>IFERROR(INDEX('Raw Data Input'!$R:$R,MATCH($D52,'Raw Data Input'!$D:$D,0)),0)</f>
        <v>448298</v>
      </c>
      <c r="S52" s="30">
        <f>IFERROR(INDEX('Raw Data Input'!$S:$S,MATCH($D52,'Raw Data Input'!$D:$D,0)),0)</f>
        <v>740556</v>
      </c>
      <c r="T52" s="30">
        <f>IFERROR(INDEX('Raw Data Input'!$T:$T,MATCH($D52,'Raw Data Input'!$D:$D,0)),0)</f>
        <v>-315632</v>
      </c>
      <c r="U52" s="30">
        <f>IFERROR(INDEX('Raw Data Input'!$F:$F,MATCH($E52,'Raw Data Input'!$D:$D,0)),0)</f>
        <v>1001069</v>
      </c>
      <c r="V52" s="30">
        <f>IFERROR(INDEX('Raw Data Input'!$G:$G,MATCH($E52,'Raw Data Input'!$D:$D,0)),0)</f>
        <v>-893187</v>
      </c>
      <c r="W52" s="30">
        <f>IFERROR(INDEX('Raw Data Input'!$H:$H,MATCH($E52,'Raw Data Input'!$D:$D,0)),0)</f>
        <v>3907</v>
      </c>
      <c r="X52" s="30">
        <f>IFERROR(INDEX('Raw Data Input'!$I:$I,MATCH($E52,'Raw Data Input'!$D:$D,0)),0)</f>
        <v>252748</v>
      </c>
      <c r="Y52" s="30">
        <f>IFERROR(INDEX('Raw Data Input'!$J:$J,MATCH($E52,'Raw Data Input'!$D:$D,0)),0)</f>
        <v>339108</v>
      </c>
      <c r="Z52" s="30">
        <f>IFERROR(INDEX('Raw Data Input'!$K:$K,MATCH($E52,'Raw Data Input'!$D:$D,0)),0)</f>
        <v>0</v>
      </c>
      <c r="AA52" s="30">
        <f>IFERROR(INDEX('Raw Data Input'!$L:$L,MATCH($E52,'Raw Data Input'!$D:$D,0)),0)</f>
        <v>597073</v>
      </c>
      <c r="AB52" s="30">
        <f>IFERROR(INDEX('Raw Data Input'!$M:$M,MATCH($E52,'Raw Data Input'!$D:$D,0)),0)</f>
        <v>-119769</v>
      </c>
      <c r="AC52" s="30">
        <f>IFERROR(INDEX('Raw Data Input'!$N:$N,MATCH($E52,'Raw Data Input'!$D:$D,0)),0)</f>
        <v>25298</v>
      </c>
      <c r="AD52" s="30">
        <f>IFERROR(INDEX('Raw Data Input'!$O:$O,MATCH($E52,'Raw Data Input'!$D:$D,0)),0)</f>
        <v>-7438</v>
      </c>
      <c r="AE52" s="30">
        <f>IFERROR(INDEX('Raw Data Input'!$P:$P,MATCH($E52,'Raw Data Input'!$D:$D,0)),0)</f>
        <v>130295</v>
      </c>
      <c r="AF52" s="30">
        <f>IFERROR(INDEX('Raw Data Input'!$Q:$Q,MATCH($E52,'Raw Data Input'!$D:$D,0)),0)</f>
        <v>264322</v>
      </c>
      <c r="AG52" s="30">
        <f>IFERROR(INDEX('Raw Data Input'!$R:$R,MATCH($E52,'Raw Data Input'!$D:$D,0)),0)</f>
        <v>504299</v>
      </c>
      <c r="AH52" s="30">
        <f>IFERROR(INDEX('Raw Data Input'!$S:$S,MATCH($E52,'Raw Data Input'!$D:$D,0)),0)</f>
        <v>773184</v>
      </c>
      <c r="AI52" s="30">
        <f>IFERROR(INDEX('Raw Data Input'!$T:$T,MATCH($E52,'Raw Data Input'!$D:$D,0)),0)</f>
        <v>-176110</v>
      </c>
    </row>
    <row r="53" spans="1:35" ht="15" customHeight="1" x14ac:dyDescent="0.3">
      <c r="A53" s="27" t="s">
        <v>38</v>
      </c>
      <c r="B53" s="27" t="s">
        <v>39</v>
      </c>
      <c r="C53" s="28">
        <v>2022</v>
      </c>
      <c r="D53" s="29" t="str">
        <f t="shared" si="2"/>
        <v>PBC-2022</v>
      </c>
      <c r="E53" s="29" t="str">
        <f t="shared" si="3"/>
        <v>PBC-2021</v>
      </c>
      <c r="F53" s="30">
        <f>IFERROR(INDEX('Raw Data Input'!$F:$F,MATCH($D53,'Raw Data Input'!$D:$D,0)),0)</f>
        <v>636383</v>
      </c>
      <c r="G53" s="30">
        <f>IFERROR(INDEX('Raw Data Input'!$G:$G,MATCH($D53,'Raw Data Input'!$D:$D,0)),0)</f>
        <v>-561016</v>
      </c>
      <c r="H53" s="30">
        <f>IFERROR(INDEX('Raw Data Input'!$H:$H,MATCH($D53,'Raw Data Input'!$D:$D,0)),0)</f>
        <v>7650</v>
      </c>
      <c r="I53" s="30">
        <f>IFERROR(INDEX('Raw Data Input'!$I:$I,MATCH($D53,'Raw Data Input'!$D:$D,0)),0)</f>
        <v>64315</v>
      </c>
      <c r="J53" s="30">
        <f>IFERROR(INDEX('Raw Data Input'!$J:$J,MATCH($D53,'Raw Data Input'!$D:$D,0)),0)</f>
        <v>299369</v>
      </c>
      <c r="K53" s="30">
        <f>IFERROR(INDEX('Raw Data Input'!$K:$K,MATCH($D53,'Raw Data Input'!$D:$D,0)),0)</f>
        <v>0</v>
      </c>
      <c r="L53" s="30">
        <f>IFERROR(INDEX('Raw Data Input'!$L:$L,MATCH($D53,'Raw Data Input'!$D:$D,0)),0)</f>
        <v>366840</v>
      </c>
      <c r="M53" s="30">
        <f>IFERROR(INDEX('Raw Data Input'!$M:$M,MATCH($D53,'Raw Data Input'!$D:$D,0)),0)</f>
        <v>-87394</v>
      </c>
      <c r="N53" s="30">
        <f>IFERROR(INDEX('Raw Data Input'!$N:$N,MATCH($D53,'Raw Data Input'!$D:$D,0)),0)</f>
        <v>20319</v>
      </c>
      <c r="O53" s="30">
        <f>IFERROR(INDEX('Raw Data Input'!$O:$O,MATCH($D53,'Raw Data Input'!$D:$D,0)),0)</f>
        <v>-30596</v>
      </c>
      <c r="P53" s="30">
        <f>IFERROR(INDEX('Raw Data Input'!$P:$P,MATCH($D53,'Raw Data Input'!$D:$D,0)),0)</f>
        <v>102119</v>
      </c>
      <c r="Q53" s="30">
        <f>IFERROR(INDEX('Raw Data Input'!$Q:$Q,MATCH($D53,'Raw Data Input'!$D:$D,0)),0)</f>
        <v>316309</v>
      </c>
      <c r="R53" s="30">
        <f>IFERROR(INDEX('Raw Data Input'!$R:$R,MATCH($D53,'Raw Data Input'!$D:$D,0)),0)</f>
        <v>392298</v>
      </c>
      <c r="S53" s="30">
        <f>IFERROR(INDEX('Raw Data Input'!$S:$S,MATCH($D53,'Raw Data Input'!$D:$D,0)),0)</f>
        <v>714071</v>
      </c>
      <c r="T53" s="30">
        <f>IFERROR(INDEX('Raw Data Input'!$T:$T,MATCH($D53,'Raw Data Input'!$D:$D,0)),0)</f>
        <v>-347232</v>
      </c>
      <c r="U53" s="30">
        <f>IFERROR(INDEX('Raw Data Input'!$F:$F,MATCH($E53,'Raw Data Input'!$D:$D,0)),0)</f>
        <v>1255600</v>
      </c>
      <c r="V53" s="30">
        <f>IFERROR(INDEX('Raw Data Input'!$G:$G,MATCH($E53,'Raw Data Input'!$D:$D,0)),0)</f>
        <v>-1136231</v>
      </c>
      <c r="W53" s="30">
        <f>IFERROR(INDEX('Raw Data Input'!$H:$H,MATCH($E53,'Raw Data Input'!$D:$D,0)),0)</f>
        <v>4079</v>
      </c>
      <c r="X53" s="30">
        <f>IFERROR(INDEX('Raw Data Input'!$I:$I,MATCH($E53,'Raw Data Input'!$D:$D,0)),0)</f>
        <v>114825</v>
      </c>
      <c r="Y53" s="30">
        <f>IFERROR(INDEX('Raw Data Input'!$J:$J,MATCH($E53,'Raw Data Input'!$D:$D,0)),0)</f>
        <v>305869</v>
      </c>
      <c r="Z53" s="30">
        <f>IFERROR(INDEX('Raw Data Input'!$K:$K,MATCH($E53,'Raw Data Input'!$D:$D,0)),0)</f>
        <v>0</v>
      </c>
      <c r="AA53" s="30">
        <f>IFERROR(INDEX('Raw Data Input'!$L:$L,MATCH($E53,'Raw Data Input'!$D:$D,0)),0)</f>
        <v>424924</v>
      </c>
      <c r="AB53" s="30">
        <f>IFERROR(INDEX('Raw Data Input'!$M:$M,MATCH($E53,'Raw Data Input'!$D:$D,0)),0)</f>
        <v>-110940</v>
      </c>
      <c r="AC53" s="30">
        <f>IFERROR(INDEX('Raw Data Input'!$N:$N,MATCH($E53,'Raw Data Input'!$D:$D,0)),0)</f>
        <v>18893</v>
      </c>
      <c r="AD53" s="30">
        <f>IFERROR(INDEX('Raw Data Input'!$O:$O,MATCH($E53,'Raw Data Input'!$D:$D,0)),0)</f>
        <v>-5654</v>
      </c>
      <c r="AE53" s="30">
        <f>IFERROR(INDEX('Raw Data Input'!$P:$P,MATCH($E53,'Raw Data Input'!$D:$D,0)),0)</f>
        <v>27873</v>
      </c>
      <c r="AF53" s="30">
        <f>IFERROR(INDEX('Raw Data Input'!$Q:$Q,MATCH($E53,'Raw Data Input'!$D:$D,0)),0)</f>
        <v>287321</v>
      </c>
      <c r="AG53" s="30">
        <f>IFERROR(INDEX('Raw Data Input'!$R:$R,MATCH($E53,'Raw Data Input'!$D:$D,0)),0)</f>
        <v>448298</v>
      </c>
      <c r="AH53" s="30">
        <f>IFERROR(INDEX('Raw Data Input'!$S:$S,MATCH($E53,'Raw Data Input'!$D:$D,0)),0)</f>
        <v>740556</v>
      </c>
      <c r="AI53" s="30">
        <f>IFERROR(INDEX('Raw Data Input'!$T:$T,MATCH($E53,'Raw Data Input'!$D:$D,0)),0)</f>
        <v>-315632</v>
      </c>
    </row>
    <row r="54" spans="1:35" ht="15" customHeight="1" thickBot="1" x14ac:dyDescent="0.35">
      <c r="A54" s="81" t="s">
        <v>38</v>
      </c>
      <c r="B54" s="81" t="s">
        <v>39</v>
      </c>
      <c r="C54" s="82">
        <v>2023</v>
      </c>
      <c r="D54" s="83" t="str">
        <f t="shared" si="2"/>
        <v>PBC-2023</v>
      </c>
      <c r="E54" s="83" t="str">
        <f t="shared" si="3"/>
        <v>PBC-2022</v>
      </c>
      <c r="F54" s="84">
        <f>IFERROR(INDEX('Raw Data Input'!$F:$F,MATCH($D54,'Raw Data Input'!$D:$D,0)),0)</f>
        <v>778852</v>
      </c>
      <c r="G54" s="84">
        <f>IFERROR(INDEX('Raw Data Input'!$G:$G,MATCH($D54,'Raw Data Input'!$D:$D,0)),0)</f>
        <v>-689545</v>
      </c>
      <c r="H54" s="84">
        <f>IFERROR(INDEX('Raw Data Input'!$H:$H,MATCH($D54,'Raw Data Input'!$D:$D,0)),0)</f>
        <v>0</v>
      </c>
      <c r="I54" s="84">
        <f>IFERROR(INDEX('Raw Data Input'!$I:$I,MATCH($D54,'Raw Data Input'!$D:$D,0)),0)</f>
        <v>68537</v>
      </c>
      <c r="J54" s="84">
        <f>IFERROR(INDEX('Raw Data Input'!$J:$J,MATCH($D54,'Raw Data Input'!$D:$D,0)),0)</f>
        <v>281258</v>
      </c>
      <c r="K54" s="84">
        <f>IFERROR(INDEX('Raw Data Input'!$K:$K,MATCH($D54,'Raw Data Input'!$D:$D,0)),0)</f>
        <v>0</v>
      </c>
      <c r="L54" s="84">
        <f>IFERROR(INDEX('Raw Data Input'!$L:$L,MATCH($D54,'Raw Data Input'!$D:$D,0)),0)</f>
        <v>352929</v>
      </c>
      <c r="M54" s="84">
        <f>IFERROR(INDEX('Raw Data Input'!$M:$M,MATCH($D54,'Raw Data Input'!$D:$D,0)),0)</f>
        <v>-89023</v>
      </c>
      <c r="N54" s="84">
        <f>IFERROR(INDEX('Raw Data Input'!$N:$N,MATCH($D54,'Raw Data Input'!$D:$D,0)),0)</f>
        <v>19231</v>
      </c>
      <c r="O54" s="84">
        <f>IFERROR(INDEX('Raw Data Input'!$O:$O,MATCH($D54,'Raw Data Input'!$D:$D,0)),0)</f>
        <v>-34109</v>
      </c>
      <c r="P54" s="84">
        <f>IFERROR(INDEX('Raw Data Input'!$P:$P,MATCH($D54,'Raw Data Input'!$D:$D,0)),0)</f>
        <v>47655</v>
      </c>
      <c r="Q54" s="84">
        <f>IFERROR(INDEX('Raw Data Input'!$Q:$Q,MATCH($D54,'Raw Data Input'!$D:$D,0)),0)</f>
        <v>332199</v>
      </c>
      <c r="R54" s="84">
        <f>IFERROR(INDEX('Raw Data Input'!$R:$R,MATCH($D54,'Raw Data Input'!$D:$D,0)),0)</f>
        <v>377656</v>
      </c>
      <c r="S54" s="84">
        <f>IFERROR(INDEX('Raw Data Input'!$S:$S,MATCH($D54,'Raw Data Input'!$D:$D,0)),0)</f>
        <v>734270</v>
      </c>
      <c r="T54" s="84">
        <f>IFERROR(INDEX('Raw Data Input'!$T:$T,MATCH($D54,'Raw Data Input'!$D:$D,0)),0)</f>
        <v>-381340</v>
      </c>
      <c r="U54" s="84">
        <f>IFERROR(INDEX('Raw Data Input'!$F:$F,MATCH($E54,'Raw Data Input'!$D:$D,0)),0)</f>
        <v>636383</v>
      </c>
      <c r="V54" s="84">
        <f>IFERROR(INDEX('Raw Data Input'!$G:$G,MATCH($E54,'Raw Data Input'!$D:$D,0)),0)</f>
        <v>-561016</v>
      </c>
      <c r="W54" s="84">
        <f>IFERROR(INDEX('Raw Data Input'!$H:$H,MATCH($E54,'Raw Data Input'!$D:$D,0)),0)</f>
        <v>7650</v>
      </c>
      <c r="X54" s="84">
        <f>IFERROR(INDEX('Raw Data Input'!$I:$I,MATCH($E54,'Raw Data Input'!$D:$D,0)),0)</f>
        <v>64315</v>
      </c>
      <c r="Y54" s="84">
        <f>IFERROR(INDEX('Raw Data Input'!$J:$J,MATCH($E54,'Raw Data Input'!$D:$D,0)),0)</f>
        <v>299369</v>
      </c>
      <c r="Z54" s="84">
        <f>IFERROR(INDEX('Raw Data Input'!$K:$K,MATCH($E54,'Raw Data Input'!$D:$D,0)),0)</f>
        <v>0</v>
      </c>
      <c r="AA54" s="84">
        <f>IFERROR(INDEX('Raw Data Input'!$L:$L,MATCH($E54,'Raw Data Input'!$D:$D,0)),0)</f>
        <v>366840</v>
      </c>
      <c r="AB54" s="84">
        <f>IFERROR(INDEX('Raw Data Input'!$M:$M,MATCH($E54,'Raw Data Input'!$D:$D,0)),0)</f>
        <v>-87394</v>
      </c>
      <c r="AC54" s="84">
        <f>IFERROR(INDEX('Raw Data Input'!$N:$N,MATCH($E54,'Raw Data Input'!$D:$D,0)),0)</f>
        <v>20319</v>
      </c>
      <c r="AD54" s="84">
        <f>IFERROR(INDEX('Raw Data Input'!$O:$O,MATCH($E54,'Raw Data Input'!$D:$D,0)),0)</f>
        <v>-30596</v>
      </c>
      <c r="AE54" s="84">
        <f>IFERROR(INDEX('Raw Data Input'!$P:$P,MATCH($E54,'Raw Data Input'!$D:$D,0)),0)</f>
        <v>102119</v>
      </c>
      <c r="AF54" s="84">
        <f>IFERROR(INDEX('Raw Data Input'!$Q:$Q,MATCH($E54,'Raw Data Input'!$D:$D,0)),0)</f>
        <v>316309</v>
      </c>
      <c r="AG54" s="84">
        <f>IFERROR(INDEX('Raw Data Input'!$R:$R,MATCH($E54,'Raw Data Input'!$D:$D,0)),0)</f>
        <v>392298</v>
      </c>
      <c r="AH54" s="84">
        <f>IFERROR(INDEX('Raw Data Input'!$S:$S,MATCH($E54,'Raw Data Input'!$D:$D,0)),0)</f>
        <v>714071</v>
      </c>
      <c r="AI54" s="84">
        <f>IFERROR(INDEX('Raw Data Input'!$T:$T,MATCH($E54,'Raw Data Input'!$D:$D,0)),0)</f>
        <v>-347232</v>
      </c>
    </row>
    <row r="55" spans="1:35" ht="15" customHeight="1" x14ac:dyDescent="0.3">
      <c r="A55" s="85" t="s">
        <v>40</v>
      </c>
      <c r="B55" s="85" t="s">
        <v>41</v>
      </c>
      <c r="C55" s="86">
        <v>2019</v>
      </c>
      <c r="D55" s="87" t="str">
        <f t="shared" si="2"/>
        <v>TOTAL-2019</v>
      </c>
      <c r="E55" s="87" t="str">
        <f t="shared" si="3"/>
        <v>TOTAL-2018</v>
      </c>
      <c r="F55" s="88">
        <f>IFERROR(INDEX('Raw Data Input'!$F:$F,MATCH($D55,'Raw Data Input'!$D:$D,0)),0)</f>
        <v>2628610</v>
      </c>
      <c r="G55" s="88">
        <f>IFERROR(INDEX('Raw Data Input'!$G:$G,MATCH($D55,'Raw Data Input'!$D:$D,0)),0)</f>
        <v>-2346176</v>
      </c>
      <c r="H55" s="88">
        <f>IFERROR(INDEX('Raw Data Input'!$H:$H,MATCH($D55,'Raw Data Input'!$D:$D,0)),0)</f>
        <v>254438</v>
      </c>
      <c r="I55" s="88">
        <f>IFERROR(INDEX('Raw Data Input'!$I:$I,MATCH($D55,'Raw Data Input'!$D:$D,0)),0)</f>
        <v>427554</v>
      </c>
      <c r="J55" s="88">
        <f>IFERROR(INDEX('Raw Data Input'!$J:$J,MATCH($D55,'Raw Data Input'!$D:$D,0)),0)</f>
        <v>360687</v>
      </c>
      <c r="K55" s="88">
        <f>IFERROR(INDEX('Raw Data Input'!$K:$K,MATCH($D55,'Raw Data Input'!$D:$D,0)),0)</f>
        <v>3451</v>
      </c>
      <c r="L55" s="88">
        <f>IFERROR(INDEX('Raw Data Input'!$L:$L,MATCH($D55,'Raw Data Input'!$D:$D,0)),0)</f>
        <v>879627</v>
      </c>
      <c r="M55" s="88">
        <f>IFERROR(INDEX('Raw Data Input'!$M:$M,MATCH($D55,'Raw Data Input'!$D:$D,0)),0)</f>
        <v>-186778</v>
      </c>
      <c r="N55" s="88">
        <f>IFERROR(INDEX('Raw Data Input'!$N:$N,MATCH($D55,'Raw Data Input'!$D:$D,0)),0)</f>
        <v>49891</v>
      </c>
      <c r="O55" s="88">
        <f>IFERROR(INDEX('Raw Data Input'!$O:$O,MATCH($D55,'Raw Data Input'!$D:$D,0)),0)</f>
        <v>68782</v>
      </c>
      <c r="P55" s="88">
        <f>IFERROR(INDEX('Raw Data Input'!$P:$P,MATCH($D55,'Raw Data Input'!$D:$D,0)),0)</f>
        <v>98937</v>
      </c>
      <c r="Q55" s="88">
        <f>IFERROR(INDEX('Raw Data Input'!$Q:$Q,MATCH($D55,'Raw Data Input'!$D:$D,0)),0)</f>
        <v>551951</v>
      </c>
      <c r="R55" s="88">
        <f>IFERROR(INDEX('Raw Data Input'!$R:$R,MATCH($D55,'Raw Data Input'!$D:$D,0)),0)</f>
        <v>61308</v>
      </c>
      <c r="S55" s="88">
        <f>IFERROR(INDEX('Raw Data Input'!$S:$S,MATCH($D55,'Raw Data Input'!$D:$D,0)),0)</f>
        <v>627594</v>
      </c>
      <c r="T55" s="88">
        <f>IFERROR(INDEX('Raw Data Input'!$T:$T,MATCH($D55,'Raw Data Input'!$D:$D,0)),0)</f>
        <v>252033</v>
      </c>
      <c r="U55" s="88">
        <f>IFERROR(INDEX('Raw Data Input'!$F:$F,MATCH($E55,'Raw Data Input'!$D:$D,0)),0)</f>
        <v>2381106</v>
      </c>
      <c r="V55" s="88">
        <f>IFERROR(INDEX('Raw Data Input'!$G:$G,MATCH($E55,'Raw Data Input'!$D:$D,0)),0)</f>
        <v>-2156637</v>
      </c>
      <c r="W55" s="88">
        <f>IFERROR(INDEX('Raw Data Input'!$H:$H,MATCH($E55,'Raw Data Input'!$D:$D,0)),0)</f>
        <v>263893</v>
      </c>
      <c r="X55" s="88">
        <f>IFERROR(INDEX('Raw Data Input'!$I:$I,MATCH($E55,'Raw Data Input'!$D:$D,0)),0)</f>
        <v>455879</v>
      </c>
      <c r="Y55" s="88">
        <f>IFERROR(INDEX('Raw Data Input'!$J:$J,MATCH($E55,'Raw Data Input'!$D:$D,0)),0)</f>
        <v>314724</v>
      </c>
      <c r="Z55" s="88">
        <f>IFERROR(INDEX('Raw Data Input'!$K:$K,MATCH($E55,'Raw Data Input'!$D:$D,0)),0)</f>
        <v>3475</v>
      </c>
      <c r="AA55" s="88">
        <f>IFERROR(INDEX('Raw Data Input'!$L:$L,MATCH($E55,'Raw Data Input'!$D:$D,0)),0)</f>
        <v>845453</v>
      </c>
      <c r="AB55" s="88">
        <f>IFERROR(INDEX('Raw Data Input'!$M:$M,MATCH($E55,'Raw Data Input'!$D:$D,0)),0)</f>
        <v>-158182</v>
      </c>
      <c r="AC55" s="88">
        <f>IFERROR(INDEX('Raw Data Input'!$N:$N,MATCH($E55,'Raw Data Input'!$D:$D,0)),0)</f>
        <v>35784</v>
      </c>
      <c r="AD55" s="88">
        <f>IFERROR(INDEX('Raw Data Input'!$O:$O,MATCH($E55,'Raw Data Input'!$D:$D,0)),0)</f>
        <v>43265</v>
      </c>
      <c r="AE55" s="88">
        <f>IFERROR(INDEX('Raw Data Input'!$P:$P,MATCH($E55,'Raw Data Input'!$D:$D,0)),0)</f>
        <v>101551</v>
      </c>
      <c r="AF55" s="88">
        <f>IFERROR(INDEX('Raw Data Input'!$Q:$Q,MATCH($E55,'Raw Data Input'!$D:$D,0)),0)</f>
        <v>594123</v>
      </c>
      <c r="AG55" s="88">
        <f>IFERROR(INDEX('Raw Data Input'!$R:$R,MATCH($E55,'Raw Data Input'!$D:$D,0)),0)</f>
        <v>54126</v>
      </c>
      <c r="AH55" s="88">
        <f>IFERROR(INDEX('Raw Data Input'!$S:$S,MATCH($E55,'Raw Data Input'!$D:$D,0)),0)</f>
        <v>655618</v>
      </c>
      <c r="AI55" s="88">
        <f>IFERROR(INDEX('Raw Data Input'!$T:$T,MATCH($E55,'Raw Data Input'!$D:$D,0)),0)</f>
        <v>189835</v>
      </c>
    </row>
    <row r="56" spans="1:35" ht="15" customHeight="1" x14ac:dyDescent="0.3">
      <c r="A56" s="27" t="s">
        <v>40</v>
      </c>
      <c r="B56" s="27" t="s">
        <v>41</v>
      </c>
      <c r="C56" s="28">
        <v>2020</v>
      </c>
      <c r="D56" s="29" t="str">
        <f t="shared" si="2"/>
        <v>TOTAL-2020</v>
      </c>
      <c r="E56" s="29" t="str">
        <f t="shared" si="3"/>
        <v>TOTAL-2019</v>
      </c>
      <c r="F56" s="30">
        <f>IFERROR(INDEX('Raw Data Input'!$F:$F,MATCH($D56,'Raw Data Input'!$D:$D,0)),0)</f>
        <v>2394002</v>
      </c>
      <c r="G56" s="30">
        <f>IFERROR(INDEX('Raw Data Input'!$G:$G,MATCH($D56,'Raw Data Input'!$D:$D,0)),0)</f>
        <v>-2045084</v>
      </c>
      <c r="H56" s="30">
        <f>IFERROR(INDEX('Raw Data Input'!$H:$H,MATCH($D56,'Raw Data Input'!$D:$D,0)),0)</f>
        <v>199594</v>
      </c>
      <c r="I56" s="30">
        <f>IFERROR(INDEX('Raw Data Input'!$I:$I,MATCH($D56,'Raw Data Input'!$D:$D,0)),0)</f>
        <v>453536</v>
      </c>
      <c r="J56" s="30">
        <f>IFERROR(INDEX('Raw Data Input'!$J:$J,MATCH($D56,'Raw Data Input'!$D:$D,0)),0)</f>
        <v>361855</v>
      </c>
      <c r="K56" s="30">
        <f>IFERROR(INDEX('Raw Data Input'!$K:$K,MATCH($D56,'Raw Data Input'!$D:$D,0)),0)</f>
        <v>3262</v>
      </c>
      <c r="L56" s="30">
        <f>IFERROR(INDEX('Raw Data Input'!$L:$L,MATCH($D56,'Raw Data Input'!$D:$D,0)),0)</f>
        <v>911771</v>
      </c>
      <c r="M56" s="30">
        <f>IFERROR(INDEX('Raw Data Input'!$M:$M,MATCH($D56,'Raw Data Input'!$D:$D,0)),0)</f>
        <v>-188994</v>
      </c>
      <c r="N56" s="30">
        <f>IFERROR(INDEX('Raw Data Input'!$N:$N,MATCH($D56,'Raw Data Input'!$D:$D,0)),0)</f>
        <v>53618</v>
      </c>
      <c r="O56" s="30">
        <f>IFERROR(INDEX('Raw Data Input'!$O:$O,MATCH($D56,'Raw Data Input'!$D:$D,0)),0)</f>
        <v>112385</v>
      </c>
      <c r="P56" s="30">
        <f>IFERROR(INDEX('Raw Data Input'!$P:$P,MATCH($D56,'Raw Data Input'!$D:$D,0)),0)</f>
        <v>186893</v>
      </c>
      <c r="Q56" s="30">
        <f>IFERROR(INDEX('Raw Data Input'!$Q:$Q,MATCH($D56,'Raw Data Input'!$D:$D,0)),0)</f>
        <v>494018</v>
      </c>
      <c r="R56" s="30">
        <f>IFERROR(INDEX('Raw Data Input'!$R:$R,MATCH($D56,'Raw Data Input'!$D:$D,0)),0)</f>
        <v>56142</v>
      </c>
      <c r="S56" s="30">
        <f>IFERROR(INDEX('Raw Data Input'!$S:$S,MATCH($D56,'Raw Data Input'!$D:$D,0)),0)</f>
        <v>567606</v>
      </c>
      <c r="T56" s="30">
        <f>IFERROR(INDEX('Raw Data Input'!$T:$T,MATCH($D56,'Raw Data Input'!$D:$D,0)),0)</f>
        <v>344165</v>
      </c>
      <c r="U56" s="30">
        <f>IFERROR(INDEX('Raw Data Input'!$F:$F,MATCH($E56,'Raw Data Input'!$D:$D,0)),0)</f>
        <v>2628610</v>
      </c>
      <c r="V56" s="30">
        <f>IFERROR(INDEX('Raw Data Input'!$G:$G,MATCH($E56,'Raw Data Input'!$D:$D,0)),0)</f>
        <v>-2346176</v>
      </c>
      <c r="W56" s="30">
        <f>IFERROR(INDEX('Raw Data Input'!$H:$H,MATCH($E56,'Raw Data Input'!$D:$D,0)),0)</f>
        <v>254438</v>
      </c>
      <c r="X56" s="30">
        <f>IFERROR(INDEX('Raw Data Input'!$I:$I,MATCH($E56,'Raw Data Input'!$D:$D,0)),0)</f>
        <v>427554</v>
      </c>
      <c r="Y56" s="30">
        <f>IFERROR(INDEX('Raw Data Input'!$J:$J,MATCH($E56,'Raw Data Input'!$D:$D,0)),0)</f>
        <v>360687</v>
      </c>
      <c r="Z56" s="30">
        <f>IFERROR(INDEX('Raw Data Input'!$K:$K,MATCH($E56,'Raw Data Input'!$D:$D,0)),0)</f>
        <v>3451</v>
      </c>
      <c r="AA56" s="30">
        <f>IFERROR(INDEX('Raw Data Input'!$L:$L,MATCH($E56,'Raw Data Input'!$D:$D,0)),0)</f>
        <v>879627</v>
      </c>
      <c r="AB56" s="30">
        <f>IFERROR(INDEX('Raw Data Input'!$M:$M,MATCH($E56,'Raw Data Input'!$D:$D,0)),0)</f>
        <v>-186778</v>
      </c>
      <c r="AC56" s="30">
        <f>IFERROR(INDEX('Raw Data Input'!$N:$N,MATCH($E56,'Raw Data Input'!$D:$D,0)),0)</f>
        <v>49891</v>
      </c>
      <c r="AD56" s="30">
        <f>IFERROR(INDEX('Raw Data Input'!$O:$O,MATCH($E56,'Raw Data Input'!$D:$D,0)),0)</f>
        <v>68782</v>
      </c>
      <c r="AE56" s="30">
        <f>IFERROR(INDEX('Raw Data Input'!$P:$P,MATCH($E56,'Raw Data Input'!$D:$D,0)),0)</f>
        <v>98937</v>
      </c>
      <c r="AF56" s="30">
        <f>IFERROR(INDEX('Raw Data Input'!$Q:$Q,MATCH($E56,'Raw Data Input'!$D:$D,0)),0)</f>
        <v>551951</v>
      </c>
      <c r="AG56" s="30">
        <f>IFERROR(INDEX('Raw Data Input'!$R:$R,MATCH($E56,'Raw Data Input'!$D:$D,0)),0)</f>
        <v>61308</v>
      </c>
      <c r="AH56" s="30">
        <f>IFERROR(INDEX('Raw Data Input'!$S:$S,MATCH($E56,'Raw Data Input'!$D:$D,0)),0)</f>
        <v>627594</v>
      </c>
      <c r="AI56" s="30">
        <f>IFERROR(INDEX('Raw Data Input'!$T:$T,MATCH($E56,'Raw Data Input'!$D:$D,0)),0)</f>
        <v>252033</v>
      </c>
    </row>
    <row r="57" spans="1:35" ht="15" customHeight="1" x14ac:dyDescent="0.3">
      <c r="A57" s="27" t="s">
        <v>40</v>
      </c>
      <c r="B57" s="27" t="s">
        <v>41</v>
      </c>
      <c r="C57" s="28">
        <v>2021</v>
      </c>
      <c r="D57" s="29" t="str">
        <f t="shared" si="2"/>
        <v>TOTAL-2021</v>
      </c>
      <c r="E57" s="29" t="str">
        <f t="shared" si="3"/>
        <v>TOTAL-2020</v>
      </c>
      <c r="F57" s="30">
        <f>IFERROR(INDEX('Raw Data Input'!$F:$F,MATCH($D57,'Raw Data Input'!$D:$D,0)),0)</f>
        <v>3226984</v>
      </c>
      <c r="G57" s="30">
        <f>IFERROR(INDEX('Raw Data Input'!$G:$G,MATCH($D57,'Raw Data Input'!$D:$D,0)),0)</f>
        <v>-2901460</v>
      </c>
      <c r="H57" s="30">
        <f>IFERROR(INDEX('Raw Data Input'!$H:$H,MATCH($D57,'Raw Data Input'!$D:$D,0)),0)</f>
        <v>260807</v>
      </c>
      <c r="I57" s="30">
        <f>IFERROR(INDEX('Raw Data Input'!$I:$I,MATCH($D57,'Raw Data Input'!$D:$D,0)),0)</f>
        <v>642020</v>
      </c>
      <c r="J57" s="30">
        <f>IFERROR(INDEX('Raw Data Input'!$J:$J,MATCH($D57,'Raw Data Input'!$D:$D,0)),0)</f>
        <v>382900</v>
      </c>
      <c r="K57" s="30">
        <f>IFERROR(INDEX('Raw Data Input'!$K:$K,MATCH($D57,'Raw Data Input'!$D:$D,0)),0)</f>
        <v>2910</v>
      </c>
      <c r="L57" s="30">
        <f>IFERROR(INDEX('Raw Data Input'!$L:$L,MATCH($D57,'Raw Data Input'!$D:$D,0)),0)</f>
        <v>1134032</v>
      </c>
      <c r="M57" s="30">
        <f>IFERROR(INDEX('Raw Data Input'!$M:$M,MATCH($D57,'Raw Data Input'!$D:$D,0)),0)</f>
        <v>-206978</v>
      </c>
      <c r="N57" s="30">
        <f>IFERROR(INDEX('Raw Data Input'!$N:$N,MATCH($D57,'Raw Data Input'!$D:$D,0)),0)</f>
        <v>55110</v>
      </c>
      <c r="O57" s="30">
        <f>IFERROR(INDEX('Raw Data Input'!$O:$O,MATCH($D57,'Raw Data Input'!$D:$D,0)),0)</f>
        <v>104343</v>
      </c>
      <c r="P57" s="30">
        <f>IFERROR(INDEX('Raw Data Input'!$P:$P,MATCH($D57,'Raw Data Input'!$D:$D,0)),0)</f>
        <v>163195</v>
      </c>
      <c r="Q57" s="30">
        <f>IFERROR(INDEX('Raw Data Input'!$Q:$Q,MATCH($D57,'Raw Data Input'!$D:$D,0)),0)</f>
        <v>619902</v>
      </c>
      <c r="R57" s="30">
        <f>IFERROR(INDEX('Raw Data Input'!$R:$R,MATCH($D57,'Raw Data Input'!$D:$D,0)),0)</f>
        <v>62664</v>
      </c>
      <c r="S57" s="30">
        <f>IFERROR(INDEX('Raw Data Input'!$S:$S,MATCH($D57,'Raw Data Input'!$D:$D,0)),0)</f>
        <v>715471</v>
      </c>
      <c r="T57" s="30">
        <f>IFERROR(INDEX('Raw Data Input'!$T:$T,MATCH($D57,'Raw Data Input'!$D:$D,0)),0)</f>
        <v>418561</v>
      </c>
      <c r="U57" s="30">
        <f>IFERROR(INDEX('Raw Data Input'!$F:$F,MATCH($E57,'Raw Data Input'!$D:$D,0)),0)</f>
        <v>2394002</v>
      </c>
      <c r="V57" s="30">
        <f>IFERROR(INDEX('Raw Data Input'!$G:$G,MATCH($E57,'Raw Data Input'!$D:$D,0)),0)</f>
        <v>-2045084</v>
      </c>
      <c r="W57" s="30">
        <f>IFERROR(INDEX('Raw Data Input'!$H:$H,MATCH($E57,'Raw Data Input'!$D:$D,0)),0)</f>
        <v>199594</v>
      </c>
      <c r="X57" s="30">
        <f>IFERROR(INDEX('Raw Data Input'!$I:$I,MATCH($E57,'Raw Data Input'!$D:$D,0)),0)</f>
        <v>453536</v>
      </c>
      <c r="Y57" s="30">
        <f>IFERROR(INDEX('Raw Data Input'!$J:$J,MATCH($E57,'Raw Data Input'!$D:$D,0)),0)</f>
        <v>361855</v>
      </c>
      <c r="Z57" s="30">
        <f>IFERROR(INDEX('Raw Data Input'!$K:$K,MATCH($E57,'Raw Data Input'!$D:$D,0)),0)</f>
        <v>3262</v>
      </c>
      <c r="AA57" s="30">
        <f>IFERROR(INDEX('Raw Data Input'!$L:$L,MATCH($E57,'Raw Data Input'!$D:$D,0)),0)</f>
        <v>911771</v>
      </c>
      <c r="AB57" s="30">
        <f>IFERROR(INDEX('Raw Data Input'!$M:$M,MATCH($E57,'Raw Data Input'!$D:$D,0)),0)</f>
        <v>-188994</v>
      </c>
      <c r="AC57" s="30">
        <f>IFERROR(INDEX('Raw Data Input'!$N:$N,MATCH($E57,'Raw Data Input'!$D:$D,0)),0)</f>
        <v>53618</v>
      </c>
      <c r="AD57" s="30">
        <f>IFERROR(INDEX('Raw Data Input'!$O:$O,MATCH($E57,'Raw Data Input'!$D:$D,0)),0)</f>
        <v>112385</v>
      </c>
      <c r="AE57" s="30">
        <f>IFERROR(INDEX('Raw Data Input'!$P:$P,MATCH($E57,'Raw Data Input'!$D:$D,0)),0)</f>
        <v>186893</v>
      </c>
      <c r="AF57" s="30">
        <f>IFERROR(INDEX('Raw Data Input'!$Q:$Q,MATCH($E57,'Raw Data Input'!$D:$D,0)),0)</f>
        <v>494018</v>
      </c>
      <c r="AG57" s="30">
        <f>IFERROR(INDEX('Raw Data Input'!$R:$R,MATCH($E57,'Raw Data Input'!$D:$D,0)),0)</f>
        <v>56142</v>
      </c>
      <c r="AH57" s="30">
        <f>IFERROR(INDEX('Raw Data Input'!$S:$S,MATCH($E57,'Raw Data Input'!$D:$D,0)),0)</f>
        <v>567606</v>
      </c>
      <c r="AI57" s="30">
        <f>IFERROR(INDEX('Raw Data Input'!$T:$T,MATCH($E57,'Raw Data Input'!$D:$D,0)),0)</f>
        <v>344165</v>
      </c>
    </row>
    <row r="58" spans="1:35" ht="15" customHeight="1" x14ac:dyDescent="0.3">
      <c r="A58" s="27" t="s">
        <v>40</v>
      </c>
      <c r="B58" s="27" t="s">
        <v>41</v>
      </c>
      <c r="C58" s="28">
        <v>2022</v>
      </c>
      <c r="D58" s="29" t="str">
        <f t="shared" si="2"/>
        <v>TOTAL-2022</v>
      </c>
      <c r="E58" s="29" t="str">
        <f t="shared" si="3"/>
        <v>TOTAL-2021</v>
      </c>
      <c r="F58" s="30">
        <f>IFERROR(INDEX('Raw Data Input'!$F:$F,MATCH($D58,'Raw Data Input'!$D:$D,0)),0)</f>
        <v>5686058</v>
      </c>
      <c r="G58" s="30">
        <f>IFERROR(INDEX('Raw Data Input'!$G:$G,MATCH($D58,'Raw Data Input'!$D:$D,0)),0)</f>
        <v>-5194657</v>
      </c>
      <c r="H58" s="30">
        <f>IFERROR(INDEX('Raw Data Input'!$H:$H,MATCH($D58,'Raw Data Input'!$D:$D,0)),0)</f>
        <v>433868</v>
      </c>
      <c r="I58" s="30">
        <f>IFERROR(INDEX('Raw Data Input'!$I:$I,MATCH($D58,'Raw Data Input'!$D:$D,0)),0)</f>
        <v>1169321</v>
      </c>
      <c r="J58" s="30">
        <f>IFERROR(INDEX('Raw Data Input'!$J:$J,MATCH($D58,'Raw Data Input'!$D:$D,0)),0)</f>
        <v>485882</v>
      </c>
      <c r="K58" s="30">
        <f>IFERROR(INDEX('Raw Data Input'!$K:$K,MATCH($D58,'Raw Data Input'!$D:$D,0)),0)</f>
        <v>2764</v>
      </c>
      <c r="L58" s="30">
        <f>IFERROR(INDEX('Raw Data Input'!$L:$L,MATCH($D58,'Raw Data Input'!$D:$D,0)),0)</f>
        <v>1780306</v>
      </c>
      <c r="M58" s="30">
        <f>IFERROR(INDEX('Raw Data Input'!$M:$M,MATCH($D58,'Raw Data Input'!$D:$D,0)),0)</f>
        <v>-280689</v>
      </c>
      <c r="N58" s="30">
        <f>IFERROR(INDEX('Raw Data Input'!$N:$N,MATCH($D58,'Raw Data Input'!$D:$D,0)),0)</f>
        <v>67256</v>
      </c>
      <c r="O58" s="30">
        <f>IFERROR(INDEX('Raw Data Input'!$O:$O,MATCH($D58,'Raw Data Input'!$D:$D,0)),0)</f>
        <v>158394</v>
      </c>
      <c r="P58" s="30">
        <f>IFERROR(INDEX('Raw Data Input'!$P:$P,MATCH($D58,'Raw Data Input'!$D:$D,0)),0)</f>
        <v>173558</v>
      </c>
      <c r="Q58" s="30">
        <f>IFERROR(INDEX('Raw Data Input'!$Q:$Q,MATCH($D58,'Raw Data Input'!$D:$D,0)),0)</f>
        <v>145025</v>
      </c>
      <c r="R58" s="30">
        <f>IFERROR(INDEX('Raw Data Input'!$R:$R,MATCH($D58,'Raw Data Input'!$D:$D,0)),0)</f>
        <v>104223</v>
      </c>
      <c r="S58" s="30">
        <f>IFERROR(INDEX('Raw Data Input'!$S:$S,MATCH($D58,'Raw Data Input'!$D:$D,0)),0)</f>
        <v>1338033</v>
      </c>
      <c r="T58" s="30">
        <f>IFERROR(INDEX('Raw Data Input'!$T:$T,MATCH($D58,'Raw Data Input'!$D:$D,0)),0)</f>
        <v>442273</v>
      </c>
      <c r="U58" s="30">
        <f>IFERROR(INDEX('Raw Data Input'!$F:$F,MATCH($E58,'Raw Data Input'!$D:$D,0)),0)</f>
        <v>3226984</v>
      </c>
      <c r="V58" s="30">
        <f>IFERROR(INDEX('Raw Data Input'!$G:$G,MATCH($E58,'Raw Data Input'!$D:$D,0)),0)</f>
        <v>-2901460</v>
      </c>
      <c r="W58" s="30">
        <f>IFERROR(INDEX('Raw Data Input'!$H:$H,MATCH($E58,'Raw Data Input'!$D:$D,0)),0)</f>
        <v>260807</v>
      </c>
      <c r="X58" s="30">
        <f>IFERROR(INDEX('Raw Data Input'!$I:$I,MATCH($E58,'Raw Data Input'!$D:$D,0)),0)</f>
        <v>642020</v>
      </c>
      <c r="Y58" s="30">
        <f>IFERROR(INDEX('Raw Data Input'!$J:$J,MATCH($E58,'Raw Data Input'!$D:$D,0)),0)</f>
        <v>382900</v>
      </c>
      <c r="Z58" s="30">
        <f>IFERROR(INDEX('Raw Data Input'!$K:$K,MATCH($E58,'Raw Data Input'!$D:$D,0)),0)</f>
        <v>2910</v>
      </c>
      <c r="AA58" s="30">
        <f>IFERROR(INDEX('Raw Data Input'!$L:$L,MATCH($E58,'Raw Data Input'!$D:$D,0)),0)</f>
        <v>1134032</v>
      </c>
      <c r="AB58" s="30">
        <f>IFERROR(INDEX('Raw Data Input'!$M:$M,MATCH($E58,'Raw Data Input'!$D:$D,0)),0)</f>
        <v>-206978</v>
      </c>
      <c r="AC58" s="30">
        <f>IFERROR(INDEX('Raw Data Input'!$N:$N,MATCH($E58,'Raw Data Input'!$D:$D,0)),0)</f>
        <v>55110</v>
      </c>
      <c r="AD58" s="30">
        <f>IFERROR(INDEX('Raw Data Input'!$O:$O,MATCH($E58,'Raw Data Input'!$D:$D,0)),0)</f>
        <v>104343</v>
      </c>
      <c r="AE58" s="30">
        <f>IFERROR(INDEX('Raw Data Input'!$P:$P,MATCH($E58,'Raw Data Input'!$D:$D,0)),0)</f>
        <v>163195</v>
      </c>
      <c r="AF58" s="30">
        <f>IFERROR(INDEX('Raw Data Input'!$Q:$Q,MATCH($E58,'Raw Data Input'!$D:$D,0)),0)</f>
        <v>619902</v>
      </c>
      <c r="AG58" s="30">
        <f>IFERROR(INDEX('Raw Data Input'!$R:$R,MATCH($E58,'Raw Data Input'!$D:$D,0)),0)</f>
        <v>62664</v>
      </c>
      <c r="AH58" s="30">
        <f>IFERROR(INDEX('Raw Data Input'!$S:$S,MATCH($E58,'Raw Data Input'!$D:$D,0)),0)</f>
        <v>715471</v>
      </c>
      <c r="AI58" s="30">
        <f>IFERROR(INDEX('Raw Data Input'!$T:$T,MATCH($E58,'Raw Data Input'!$D:$D,0)),0)</f>
        <v>418561</v>
      </c>
    </row>
    <row r="59" spans="1:35" ht="15" customHeight="1" thickBot="1" x14ac:dyDescent="0.35">
      <c r="A59" s="70" t="s">
        <v>40</v>
      </c>
      <c r="B59" s="70" t="s">
        <v>41</v>
      </c>
      <c r="C59" s="71">
        <v>2023</v>
      </c>
      <c r="D59" s="72" t="str">
        <f t="shared" si="2"/>
        <v>TOTAL-2023</v>
      </c>
      <c r="E59" s="72" t="str">
        <f t="shared" si="3"/>
        <v>TOTAL-2022</v>
      </c>
      <c r="F59" s="73">
        <f>IFERROR(INDEX('Raw Data Input'!$F:$F,MATCH($D59,'Raw Data Input'!$D:$D,0)),0)</f>
        <v>6058689</v>
      </c>
      <c r="G59" s="73">
        <f>IFERROR(INDEX('Raw Data Input'!$G:$G,MATCH($D59,'Raw Data Input'!$D:$D,0)),0)</f>
        <v>-5436745</v>
      </c>
      <c r="H59" s="73">
        <f>IFERROR(INDEX('Raw Data Input'!$H:$H,MATCH($D59,'Raw Data Input'!$D:$D,0)),0)</f>
        <v>487969</v>
      </c>
      <c r="I59" s="73">
        <f>IFERROR(INDEX('Raw Data Input'!$I:$I,MATCH($D59,'Raw Data Input'!$D:$D,0)),0)</f>
        <v>1297996</v>
      </c>
      <c r="J59" s="73">
        <f>IFERROR(INDEX('Raw Data Input'!$J:$J,MATCH($D59,'Raw Data Input'!$D:$D,0)),0)</f>
        <v>528776</v>
      </c>
      <c r="K59" s="73">
        <f>IFERROR(INDEX('Raw Data Input'!$K:$K,MATCH($D59,'Raw Data Input'!$D:$D,0)),0)</f>
        <v>2691</v>
      </c>
      <c r="L59" s="73">
        <f>IFERROR(INDEX('Raw Data Input'!$L:$L,MATCH($D59,'Raw Data Input'!$D:$D,0)),0)</f>
        <v>1960104</v>
      </c>
      <c r="M59" s="73">
        <f>IFERROR(INDEX('Raw Data Input'!$M:$M,MATCH($D59,'Raw Data Input'!$D:$D,0)),0)</f>
        <v>-346621</v>
      </c>
      <c r="N59" s="73">
        <f>IFERROR(INDEX('Raw Data Input'!$N:$N,MATCH($D59,'Raw Data Input'!$D:$D,0)),0)</f>
        <v>76988</v>
      </c>
      <c r="O59" s="73">
        <f>IFERROR(INDEX('Raw Data Input'!$O:$O,MATCH($D59,'Raw Data Input'!$D:$D,0)),0)</f>
        <v>172271</v>
      </c>
      <c r="P59" s="73">
        <f>IFERROR(INDEX('Raw Data Input'!$P:$P,MATCH($D59,'Raw Data Input'!$D:$D,0)),0)</f>
        <v>224206</v>
      </c>
      <c r="Q59" s="73">
        <f>IFERROR(INDEX('Raw Data Input'!$Q:$Q,MATCH($D59,'Raw Data Input'!$D:$D,0)),0)</f>
        <v>144870</v>
      </c>
      <c r="R59" s="73">
        <f>IFERROR(INDEX('Raw Data Input'!$R:$R,MATCH($D59,'Raw Data Input'!$D:$D,0)),0)</f>
        <v>103155</v>
      </c>
      <c r="S59" s="73">
        <f>IFERROR(INDEX('Raw Data Input'!$S:$S,MATCH($D59,'Raw Data Input'!$D:$D,0)),0)</f>
        <v>1473385</v>
      </c>
      <c r="T59" s="73">
        <f>IFERROR(INDEX('Raw Data Input'!$T:$T,MATCH($D59,'Raw Data Input'!$D:$D,0)),0)</f>
        <v>486719</v>
      </c>
      <c r="U59" s="73">
        <f>IFERROR(INDEX('Raw Data Input'!$F:$F,MATCH($E59,'Raw Data Input'!$D:$D,0)),0)</f>
        <v>5686058</v>
      </c>
      <c r="V59" s="73">
        <f>IFERROR(INDEX('Raw Data Input'!$G:$G,MATCH($E59,'Raw Data Input'!$D:$D,0)),0)</f>
        <v>-5194657</v>
      </c>
      <c r="W59" s="73">
        <f>IFERROR(INDEX('Raw Data Input'!$H:$H,MATCH($E59,'Raw Data Input'!$D:$D,0)),0)</f>
        <v>433868</v>
      </c>
      <c r="X59" s="73">
        <f>IFERROR(INDEX('Raw Data Input'!$I:$I,MATCH($E59,'Raw Data Input'!$D:$D,0)),0)</f>
        <v>1169321</v>
      </c>
      <c r="Y59" s="73">
        <f>IFERROR(INDEX('Raw Data Input'!$J:$J,MATCH($E59,'Raw Data Input'!$D:$D,0)),0)</f>
        <v>485882</v>
      </c>
      <c r="Z59" s="73">
        <f>IFERROR(INDEX('Raw Data Input'!$K:$K,MATCH($E59,'Raw Data Input'!$D:$D,0)),0)</f>
        <v>2764</v>
      </c>
      <c r="AA59" s="73">
        <f>IFERROR(INDEX('Raw Data Input'!$L:$L,MATCH($E59,'Raw Data Input'!$D:$D,0)),0)</f>
        <v>1780306</v>
      </c>
      <c r="AB59" s="73">
        <f>IFERROR(INDEX('Raw Data Input'!$M:$M,MATCH($E59,'Raw Data Input'!$D:$D,0)),0)</f>
        <v>-280689</v>
      </c>
      <c r="AC59" s="73">
        <f>IFERROR(INDEX('Raw Data Input'!$N:$N,MATCH($E59,'Raw Data Input'!$D:$D,0)),0)</f>
        <v>67256</v>
      </c>
      <c r="AD59" s="73">
        <f>IFERROR(INDEX('Raw Data Input'!$O:$O,MATCH($E59,'Raw Data Input'!$D:$D,0)),0)</f>
        <v>158394</v>
      </c>
      <c r="AE59" s="73">
        <f>IFERROR(INDEX('Raw Data Input'!$P:$P,MATCH($E59,'Raw Data Input'!$D:$D,0)),0)</f>
        <v>173558</v>
      </c>
      <c r="AF59" s="73">
        <f>IFERROR(INDEX('Raw Data Input'!$Q:$Q,MATCH($E59,'Raw Data Input'!$D:$D,0)),0)</f>
        <v>145025</v>
      </c>
      <c r="AG59" s="73">
        <f>IFERROR(INDEX('Raw Data Input'!$R:$R,MATCH($E59,'Raw Data Input'!$D:$D,0)),0)</f>
        <v>104223</v>
      </c>
      <c r="AH59" s="73">
        <f>IFERROR(INDEX('Raw Data Input'!$S:$S,MATCH($E59,'Raw Data Input'!$D:$D,0)),0)</f>
        <v>1338033</v>
      </c>
      <c r="AI59" s="73">
        <f>IFERROR(INDEX('Raw Data Input'!$T:$T,MATCH($E59,'Raw Data Input'!$D:$D,0)),0)</f>
        <v>442273</v>
      </c>
    </row>
    <row r="60" spans="1:35" ht="15" customHeight="1" x14ac:dyDescent="0.3">
      <c r="A60" s="77" t="s">
        <v>43</v>
      </c>
      <c r="B60" s="77" t="s">
        <v>44</v>
      </c>
      <c r="C60" s="78">
        <v>2019</v>
      </c>
      <c r="D60" s="79" t="str">
        <f t="shared" si="2"/>
        <v>UNIL-2019</v>
      </c>
      <c r="E60" s="79" t="str">
        <f t="shared" si="3"/>
        <v>UNIL-2018</v>
      </c>
      <c r="F60" s="80">
        <f>IFERROR(INDEX('Raw Data Input'!$F:$F,MATCH($D60,'Raw Data Input'!$D:$D,0)),0)</f>
        <v>333290</v>
      </c>
      <c r="G60" s="80">
        <f>IFERROR(INDEX('Raw Data Input'!$G:$G,MATCH($D60,'Raw Data Input'!$D:$D,0)),0)</f>
        <v>-348684</v>
      </c>
      <c r="H60" s="80">
        <f>IFERROR(INDEX('Raw Data Input'!$H:$H,MATCH($D60,'Raw Data Input'!$D:$D,0)),0)</f>
        <v>112312</v>
      </c>
      <c r="I60" s="80">
        <f>IFERROR(INDEX('Raw Data Input'!$I:$I,MATCH($D60,'Raw Data Input'!$D:$D,0)),0)</f>
        <v>289317</v>
      </c>
      <c r="J60" s="80">
        <f>IFERROR(INDEX('Raw Data Input'!$J:$J,MATCH($D60,'Raw Data Input'!$D:$D,0)),0)</f>
        <v>138983</v>
      </c>
      <c r="K60" s="80">
        <f>IFERROR(INDEX('Raw Data Input'!$K:$K,MATCH($D60,'Raw Data Input'!$D:$D,0)),0)</f>
        <v>10</v>
      </c>
      <c r="L60" s="80">
        <f>IFERROR(INDEX('Raw Data Input'!$L:$L,MATCH($D60,'Raw Data Input'!$D:$D,0)),0)</f>
        <v>489179</v>
      </c>
      <c r="M60" s="80">
        <f>IFERROR(INDEX('Raw Data Input'!$M:$M,MATCH($D60,'Raw Data Input'!$D:$D,0)),0)</f>
        <v>-91051</v>
      </c>
      <c r="N60" s="80">
        <f>IFERROR(INDEX('Raw Data Input'!$N:$N,MATCH($D60,'Raw Data Input'!$D:$D,0)),0)</f>
        <v>8574</v>
      </c>
      <c r="O60" s="80">
        <f>IFERROR(INDEX('Raw Data Input'!$O:$O,MATCH($D60,'Raw Data Input'!$D:$D,0)),0)</f>
        <v>-160316</v>
      </c>
      <c r="P60" s="80">
        <f>IFERROR(INDEX('Raw Data Input'!$P:$P,MATCH($D60,'Raw Data Input'!$D:$D,0)),0)</f>
        <v>56256</v>
      </c>
      <c r="Q60" s="80">
        <f>IFERROR(INDEX('Raw Data Input'!$Q:$Q,MATCH($D60,'Raw Data Input'!$D:$D,0)),0)</f>
        <v>399375</v>
      </c>
      <c r="R60" s="80">
        <f>IFERROR(INDEX('Raw Data Input'!$R:$R,MATCH($D60,'Raw Data Input'!$D:$D,0)),0)</f>
        <v>0</v>
      </c>
      <c r="S60" s="80">
        <f>IFERROR(INDEX('Raw Data Input'!$S:$S,MATCH($D60,'Raw Data Input'!$D:$D,0)),0)</f>
        <v>404227</v>
      </c>
      <c r="T60" s="80">
        <f>IFERROR(INDEX('Raw Data Input'!$T:$T,MATCH($D60,'Raw Data Input'!$D:$D,0)),0)</f>
        <v>84952</v>
      </c>
      <c r="U60" s="80">
        <f>IFERROR(INDEX('Raw Data Input'!$F:$F,MATCH($E60,'Raw Data Input'!$D:$D,0)),0)</f>
        <v>632152</v>
      </c>
      <c r="V60" s="80">
        <f>IFERROR(INDEX('Raw Data Input'!$G:$G,MATCH($E60,'Raw Data Input'!$D:$D,0)),0)</f>
        <v>-440991</v>
      </c>
      <c r="W60" s="80">
        <f>IFERROR(INDEX('Raw Data Input'!$H:$H,MATCH($E60,'Raw Data Input'!$D:$D,0)),0)</f>
        <v>250266</v>
      </c>
      <c r="X60" s="80">
        <f>IFERROR(INDEX('Raw Data Input'!$I:$I,MATCH($E60,'Raw Data Input'!$D:$D,0)),0)</f>
        <v>582286</v>
      </c>
      <c r="Y60" s="80">
        <f>IFERROR(INDEX('Raw Data Input'!$J:$J,MATCH($E60,'Raw Data Input'!$D:$D,0)),0)</f>
        <v>144194</v>
      </c>
      <c r="Z60" s="80">
        <f>IFERROR(INDEX('Raw Data Input'!$K:$K,MATCH($E60,'Raw Data Input'!$D:$D,0)),0)</f>
        <v>10</v>
      </c>
      <c r="AA60" s="80">
        <f>IFERROR(INDEX('Raw Data Input'!$L:$L,MATCH($E60,'Raw Data Input'!$D:$D,0)),0)</f>
        <v>726490</v>
      </c>
      <c r="AB60" s="80">
        <f>IFERROR(INDEX('Raw Data Input'!$M:$M,MATCH($E60,'Raw Data Input'!$D:$D,0)),0)</f>
        <v>-67867</v>
      </c>
      <c r="AC60" s="80">
        <f>IFERROR(INDEX('Raw Data Input'!$N:$N,MATCH($E60,'Raw Data Input'!$D:$D,0)),0)</f>
        <v>9533</v>
      </c>
      <c r="AD60" s="80">
        <f>IFERROR(INDEX('Raw Data Input'!$O:$O,MATCH($E60,'Raw Data Input'!$D:$D,0)),0)</f>
        <v>190825</v>
      </c>
      <c r="AE60" s="80">
        <f>IFERROR(INDEX('Raw Data Input'!$P:$P,MATCH($E60,'Raw Data Input'!$D:$D,0)),0)</f>
        <v>-155199</v>
      </c>
      <c r="AF60" s="80">
        <f>IFERROR(INDEX('Raw Data Input'!$Q:$Q,MATCH($E60,'Raw Data Input'!$D:$D,0)),0)</f>
        <v>418394</v>
      </c>
      <c r="AG60" s="80">
        <f>IFERROR(INDEX('Raw Data Input'!$R:$R,MATCH($E60,'Raw Data Input'!$D:$D,0)),0)</f>
        <v>0</v>
      </c>
      <c r="AH60" s="80">
        <f>IFERROR(INDEX('Raw Data Input'!$S:$S,MATCH($E60,'Raw Data Input'!$D:$D,0)),0)</f>
        <v>431349</v>
      </c>
      <c r="AI60" s="80">
        <f>IFERROR(INDEX('Raw Data Input'!$T:$T,MATCH($E60,'Raw Data Input'!$D:$D,0)),0)</f>
        <v>295141</v>
      </c>
    </row>
    <row r="61" spans="1:35" ht="15" customHeight="1" x14ac:dyDescent="0.3">
      <c r="A61" s="27" t="s">
        <v>43</v>
      </c>
      <c r="B61" s="27" t="s">
        <v>44</v>
      </c>
      <c r="C61" s="28">
        <v>2020</v>
      </c>
      <c r="D61" s="29" t="str">
        <f t="shared" si="2"/>
        <v>UNIL-2020</v>
      </c>
      <c r="E61" s="29" t="str">
        <f t="shared" si="3"/>
        <v>UNIL-2019</v>
      </c>
      <c r="F61" s="30">
        <f>IFERROR(INDEX('Raw Data Input'!$F:$F,MATCH($D61,'Raw Data Input'!$D:$D,0)),0)</f>
        <v>424006</v>
      </c>
      <c r="G61" s="30">
        <f>IFERROR(INDEX('Raw Data Input'!$G:$G,MATCH($D61,'Raw Data Input'!$D:$D,0)),0)</f>
        <v>-355462</v>
      </c>
      <c r="H61" s="30">
        <f>IFERROR(INDEX('Raw Data Input'!$H:$H,MATCH($D61,'Raw Data Input'!$D:$D,0)),0)</f>
        <v>51691</v>
      </c>
      <c r="I61" s="30">
        <f>IFERROR(INDEX('Raw Data Input'!$I:$I,MATCH($D61,'Raw Data Input'!$D:$D,0)),0)</f>
        <v>165947</v>
      </c>
      <c r="J61" s="30">
        <f>IFERROR(INDEX('Raw Data Input'!$J:$J,MATCH($D61,'Raw Data Input'!$D:$D,0)),0)</f>
        <v>135551</v>
      </c>
      <c r="K61" s="30">
        <f>IFERROR(INDEX('Raw Data Input'!$K:$K,MATCH($D61,'Raw Data Input'!$D:$D,0)),0)</f>
        <v>11</v>
      </c>
      <c r="L61" s="30">
        <f>IFERROR(INDEX('Raw Data Input'!$L:$L,MATCH($D61,'Raw Data Input'!$D:$D,0)),0)</f>
        <v>337516</v>
      </c>
      <c r="M61" s="30">
        <f>IFERROR(INDEX('Raw Data Input'!$M:$M,MATCH($D61,'Raw Data Input'!$D:$D,0)),0)</f>
        <v>-67671</v>
      </c>
      <c r="N61" s="30">
        <f>IFERROR(INDEX('Raw Data Input'!$N:$N,MATCH($D61,'Raw Data Input'!$D:$D,0)),0)</f>
        <v>11425</v>
      </c>
      <c r="O61" s="30">
        <f>IFERROR(INDEX('Raw Data Input'!$O:$O,MATCH($D61,'Raw Data Input'!$D:$D,0)),0)</f>
        <v>-50240</v>
      </c>
      <c r="P61" s="30">
        <f>IFERROR(INDEX('Raw Data Input'!$P:$P,MATCH($D61,'Raw Data Input'!$D:$D,0)),0)</f>
        <v>63275</v>
      </c>
      <c r="Q61" s="30">
        <f>IFERROR(INDEX('Raw Data Input'!$Q:$Q,MATCH($D61,'Raw Data Input'!$D:$D,0)),0)</f>
        <v>297679</v>
      </c>
      <c r="R61" s="30">
        <f>IFERROR(INDEX('Raw Data Input'!$R:$R,MATCH($D61,'Raw Data Input'!$D:$D,0)),0)</f>
        <v>0</v>
      </c>
      <c r="S61" s="30">
        <f>IFERROR(INDEX('Raw Data Input'!$S:$S,MATCH($D61,'Raw Data Input'!$D:$D,0)),0)</f>
        <v>301267</v>
      </c>
      <c r="T61" s="30">
        <f>IFERROR(INDEX('Raw Data Input'!$T:$T,MATCH($D61,'Raw Data Input'!$D:$D,0)),0)</f>
        <v>36249</v>
      </c>
      <c r="U61" s="30">
        <f>IFERROR(INDEX('Raw Data Input'!$F:$F,MATCH($E61,'Raw Data Input'!$D:$D,0)),0)</f>
        <v>333290</v>
      </c>
      <c r="V61" s="30">
        <f>IFERROR(INDEX('Raw Data Input'!$G:$G,MATCH($E61,'Raw Data Input'!$D:$D,0)),0)</f>
        <v>-348684</v>
      </c>
      <c r="W61" s="30">
        <f>IFERROR(INDEX('Raw Data Input'!$H:$H,MATCH($E61,'Raw Data Input'!$D:$D,0)),0)</f>
        <v>112312</v>
      </c>
      <c r="X61" s="30">
        <f>IFERROR(INDEX('Raw Data Input'!$I:$I,MATCH($E61,'Raw Data Input'!$D:$D,0)),0)</f>
        <v>289317</v>
      </c>
      <c r="Y61" s="30">
        <f>IFERROR(INDEX('Raw Data Input'!$J:$J,MATCH($E61,'Raw Data Input'!$D:$D,0)),0)</f>
        <v>138983</v>
      </c>
      <c r="Z61" s="30">
        <f>IFERROR(INDEX('Raw Data Input'!$K:$K,MATCH($E61,'Raw Data Input'!$D:$D,0)),0)</f>
        <v>10</v>
      </c>
      <c r="AA61" s="30">
        <f>IFERROR(INDEX('Raw Data Input'!$L:$L,MATCH($E61,'Raw Data Input'!$D:$D,0)),0)</f>
        <v>489179</v>
      </c>
      <c r="AB61" s="30">
        <f>IFERROR(INDEX('Raw Data Input'!$M:$M,MATCH($E61,'Raw Data Input'!$D:$D,0)),0)</f>
        <v>-91051</v>
      </c>
      <c r="AC61" s="30">
        <f>IFERROR(INDEX('Raw Data Input'!$N:$N,MATCH($E61,'Raw Data Input'!$D:$D,0)),0)</f>
        <v>8574</v>
      </c>
      <c r="AD61" s="30">
        <f>IFERROR(INDEX('Raw Data Input'!$O:$O,MATCH($E61,'Raw Data Input'!$D:$D,0)),0)</f>
        <v>-160316</v>
      </c>
      <c r="AE61" s="30">
        <f>IFERROR(INDEX('Raw Data Input'!$P:$P,MATCH($E61,'Raw Data Input'!$D:$D,0)),0)</f>
        <v>56256</v>
      </c>
      <c r="AF61" s="30">
        <f>IFERROR(INDEX('Raw Data Input'!$Q:$Q,MATCH($E61,'Raw Data Input'!$D:$D,0)),0)</f>
        <v>399375</v>
      </c>
      <c r="AG61" s="30">
        <f>IFERROR(INDEX('Raw Data Input'!$R:$R,MATCH($E61,'Raw Data Input'!$D:$D,0)),0)</f>
        <v>0</v>
      </c>
      <c r="AH61" s="30">
        <f>IFERROR(INDEX('Raw Data Input'!$S:$S,MATCH($E61,'Raw Data Input'!$D:$D,0)),0)</f>
        <v>404227</v>
      </c>
      <c r="AI61" s="30">
        <f>IFERROR(INDEX('Raw Data Input'!$T:$T,MATCH($E61,'Raw Data Input'!$D:$D,0)),0)</f>
        <v>84952</v>
      </c>
    </row>
    <row r="62" spans="1:35" ht="15" customHeight="1" x14ac:dyDescent="0.3">
      <c r="A62" s="27" t="s">
        <v>43</v>
      </c>
      <c r="B62" s="27" t="s">
        <v>44</v>
      </c>
      <c r="C62" s="28">
        <v>2021</v>
      </c>
      <c r="D62" s="29" t="str">
        <f t="shared" si="2"/>
        <v>UNIL-2021</v>
      </c>
      <c r="E62" s="29" t="str">
        <f t="shared" si="3"/>
        <v>UNIL-2020</v>
      </c>
      <c r="F62" s="30">
        <f>IFERROR(INDEX('Raw Data Input'!$F:$F,MATCH($D62,'Raw Data Input'!$D:$D,0)),0)</f>
        <v>526912</v>
      </c>
      <c r="G62" s="30">
        <f>IFERROR(INDEX('Raw Data Input'!$G:$G,MATCH($D62,'Raw Data Input'!$D:$D,0)),0)</f>
        <v>-429866</v>
      </c>
      <c r="H62" s="30">
        <f>IFERROR(INDEX('Raw Data Input'!$H:$H,MATCH($D62,'Raw Data Input'!$D:$D,0)),0)</f>
        <v>47209</v>
      </c>
      <c r="I62" s="30">
        <f>IFERROR(INDEX('Raw Data Input'!$I:$I,MATCH($D62,'Raw Data Input'!$D:$D,0)),0)</f>
        <v>216628</v>
      </c>
      <c r="J62" s="30">
        <f>IFERROR(INDEX('Raw Data Input'!$J:$J,MATCH($D62,'Raw Data Input'!$D:$D,0)),0)</f>
        <v>131166</v>
      </c>
      <c r="K62" s="30">
        <f>IFERROR(INDEX('Raw Data Input'!$K:$K,MATCH($D62,'Raw Data Input'!$D:$D,0)),0)</f>
        <v>11</v>
      </c>
      <c r="L62" s="30">
        <f>IFERROR(INDEX('Raw Data Input'!$L:$L,MATCH($D62,'Raw Data Input'!$D:$D,0)),0)</f>
        <v>382541</v>
      </c>
      <c r="M62" s="30">
        <f>IFERROR(INDEX('Raw Data Input'!$M:$M,MATCH($D62,'Raw Data Input'!$D:$D,0)),0)</f>
        <v>-79564</v>
      </c>
      <c r="N62" s="30">
        <f>IFERROR(INDEX('Raw Data Input'!$N:$N,MATCH($D62,'Raw Data Input'!$D:$D,0)),0)</f>
        <v>12119</v>
      </c>
      <c r="O62" s="30">
        <f>IFERROR(INDEX('Raw Data Input'!$O:$O,MATCH($D62,'Raw Data Input'!$D:$D,0)),0)</f>
        <v>350</v>
      </c>
      <c r="P62" s="30">
        <f>IFERROR(INDEX('Raw Data Input'!$P:$P,MATCH($D62,'Raw Data Input'!$D:$D,0)),0)</f>
        <v>3031</v>
      </c>
      <c r="Q62" s="30">
        <f>IFERROR(INDEX('Raw Data Input'!$Q:$Q,MATCH($D62,'Raw Data Input'!$D:$D,0)),0)</f>
        <v>341531</v>
      </c>
      <c r="R62" s="30">
        <f>IFERROR(INDEX('Raw Data Input'!$R:$R,MATCH($D62,'Raw Data Input'!$D:$D,0)),0)</f>
        <v>0</v>
      </c>
      <c r="S62" s="30">
        <f>IFERROR(INDEX('Raw Data Input'!$S:$S,MATCH($D62,'Raw Data Input'!$D:$D,0)),0)</f>
        <v>345767</v>
      </c>
      <c r="T62" s="30">
        <f>IFERROR(INDEX('Raw Data Input'!$T:$T,MATCH($D62,'Raw Data Input'!$D:$D,0)),0)</f>
        <v>36774</v>
      </c>
      <c r="U62" s="30">
        <f>IFERROR(INDEX('Raw Data Input'!$F:$F,MATCH($E62,'Raw Data Input'!$D:$D,0)),0)</f>
        <v>424006</v>
      </c>
      <c r="V62" s="30">
        <f>IFERROR(INDEX('Raw Data Input'!$G:$G,MATCH($E62,'Raw Data Input'!$D:$D,0)),0)</f>
        <v>-355462</v>
      </c>
      <c r="W62" s="30">
        <f>IFERROR(INDEX('Raw Data Input'!$H:$H,MATCH($E62,'Raw Data Input'!$D:$D,0)),0)</f>
        <v>51691</v>
      </c>
      <c r="X62" s="30">
        <f>IFERROR(INDEX('Raw Data Input'!$I:$I,MATCH($E62,'Raw Data Input'!$D:$D,0)),0)</f>
        <v>165947</v>
      </c>
      <c r="Y62" s="30">
        <f>IFERROR(INDEX('Raw Data Input'!$J:$J,MATCH($E62,'Raw Data Input'!$D:$D,0)),0)</f>
        <v>135551</v>
      </c>
      <c r="Z62" s="30">
        <f>IFERROR(INDEX('Raw Data Input'!$K:$K,MATCH($E62,'Raw Data Input'!$D:$D,0)),0)</f>
        <v>11</v>
      </c>
      <c r="AA62" s="30">
        <f>IFERROR(INDEX('Raw Data Input'!$L:$L,MATCH($E62,'Raw Data Input'!$D:$D,0)),0)</f>
        <v>337516</v>
      </c>
      <c r="AB62" s="30">
        <f>IFERROR(INDEX('Raw Data Input'!$M:$M,MATCH($E62,'Raw Data Input'!$D:$D,0)),0)</f>
        <v>-67671</v>
      </c>
      <c r="AC62" s="30">
        <f>IFERROR(INDEX('Raw Data Input'!$N:$N,MATCH($E62,'Raw Data Input'!$D:$D,0)),0)</f>
        <v>11425</v>
      </c>
      <c r="AD62" s="30">
        <f>IFERROR(INDEX('Raw Data Input'!$O:$O,MATCH($E62,'Raw Data Input'!$D:$D,0)),0)</f>
        <v>-50240</v>
      </c>
      <c r="AE62" s="30">
        <f>IFERROR(INDEX('Raw Data Input'!$P:$P,MATCH($E62,'Raw Data Input'!$D:$D,0)),0)</f>
        <v>63275</v>
      </c>
      <c r="AF62" s="30">
        <f>IFERROR(INDEX('Raw Data Input'!$Q:$Q,MATCH($E62,'Raw Data Input'!$D:$D,0)),0)</f>
        <v>297679</v>
      </c>
      <c r="AG62" s="30">
        <f>IFERROR(INDEX('Raw Data Input'!$R:$R,MATCH($E62,'Raw Data Input'!$D:$D,0)),0)</f>
        <v>0</v>
      </c>
      <c r="AH62" s="30">
        <f>IFERROR(INDEX('Raw Data Input'!$S:$S,MATCH($E62,'Raw Data Input'!$D:$D,0)),0)</f>
        <v>301267</v>
      </c>
      <c r="AI62" s="30">
        <f>IFERROR(INDEX('Raw Data Input'!$T:$T,MATCH($E62,'Raw Data Input'!$D:$D,0)),0)</f>
        <v>36249</v>
      </c>
    </row>
    <row r="63" spans="1:35" ht="15" customHeight="1" x14ac:dyDescent="0.3">
      <c r="A63" s="27" t="s">
        <v>43</v>
      </c>
      <c r="B63" s="27" t="s">
        <v>44</v>
      </c>
      <c r="C63" s="28">
        <v>2022</v>
      </c>
      <c r="D63" s="29" t="str">
        <f t="shared" si="2"/>
        <v>UNIL-2022</v>
      </c>
      <c r="E63" s="29" t="str">
        <f t="shared" si="3"/>
        <v>UNIL-2021</v>
      </c>
      <c r="F63" s="30">
        <f>IFERROR(INDEX('Raw Data Input'!$F:$F,MATCH($D63,'Raw Data Input'!$D:$D,0)),0)</f>
        <v>631477</v>
      </c>
      <c r="G63" s="30">
        <f>IFERROR(INDEX('Raw Data Input'!$G:$G,MATCH($D63,'Raw Data Input'!$D:$D,0)),0)</f>
        <v>-475876</v>
      </c>
      <c r="H63" s="30">
        <f>IFERROR(INDEX('Raw Data Input'!$H:$H,MATCH($D63,'Raw Data Input'!$D:$D,0)),0)</f>
        <v>20943</v>
      </c>
      <c r="I63" s="30">
        <f>IFERROR(INDEX('Raw Data Input'!$I:$I,MATCH($D63,'Raw Data Input'!$D:$D,0)),0)</f>
        <v>231073</v>
      </c>
      <c r="J63" s="30">
        <f>IFERROR(INDEX('Raw Data Input'!$J:$J,MATCH($D63,'Raw Data Input'!$D:$D,0)),0)</f>
        <v>133750</v>
      </c>
      <c r="K63" s="30">
        <f>IFERROR(INDEX('Raw Data Input'!$K:$K,MATCH($D63,'Raw Data Input'!$D:$D,0)),0)</f>
        <v>11</v>
      </c>
      <c r="L63" s="30">
        <f>IFERROR(INDEX('Raw Data Input'!$L:$L,MATCH($D63,'Raw Data Input'!$D:$D,0)),0)</f>
        <v>411754</v>
      </c>
      <c r="M63" s="30">
        <f>IFERROR(INDEX('Raw Data Input'!$M:$M,MATCH($D63,'Raw Data Input'!$D:$D,0)),0)</f>
        <v>-70752</v>
      </c>
      <c r="N63" s="30">
        <f>IFERROR(INDEX('Raw Data Input'!$N:$N,MATCH($D63,'Raw Data Input'!$D:$D,0)),0)</f>
        <v>12854</v>
      </c>
      <c r="O63" s="30">
        <f>IFERROR(INDEX('Raw Data Input'!$O:$O,MATCH($D63,'Raw Data Input'!$D:$D,0)),0)</f>
        <v>15080</v>
      </c>
      <c r="P63" s="30">
        <f>IFERROR(INDEX('Raw Data Input'!$P:$P,MATCH($D63,'Raw Data Input'!$D:$D,0)),0)</f>
        <v>61954</v>
      </c>
      <c r="Q63" s="30">
        <f>IFERROR(INDEX('Raw Data Input'!$Q:$Q,MATCH($D63,'Raw Data Input'!$D:$D,0)),0)</f>
        <v>345765</v>
      </c>
      <c r="R63" s="30">
        <f>IFERROR(INDEX('Raw Data Input'!$R:$R,MATCH($D63,'Raw Data Input'!$D:$D,0)),0)</f>
        <v>0</v>
      </c>
      <c r="S63" s="30">
        <f>IFERROR(INDEX('Raw Data Input'!$S:$S,MATCH($D63,'Raw Data Input'!$D:$D,0)),0)</f>
        <v>358936</v>
      </c>
      <c r="T63" s="30">
        <f>IFERROR(INDEX('Raw Data Input'!$T:$T,MATCH($D63,'Raw Data Input'!$D:$D,0)),0)</f>
        <v>52818</v>
      </c>
      <c r="U63" s="30">
        <f>IFERROR(INDEX('Raw Data Input'!$F:$F,MATCH($E63,'Raw Data Input'!$D:$D,0)),0)</f>
        <v>526912</v>
      </c>
      <c r="V63" s="30">
        <f>IFERROR(INDEX('Raw Data Input'!$G:$G,MATCH($E63,'Raw Data Input'!$D:$D,0)),0)</f>
        <v>-429866</v>
      </c>
      <c r="W63" s="30">
        <f>IFERROR(INDEX('Raw Data Input'!$H:$H,MATCH($E63,'Raw Data Input'!$D:$D,0)),0)</f>
        <v>47209</v>
      </c>
      <c r="X63" s="30">
        <f>IFERROR(INDEX('Raw Data Input'!$I:$I,MATCH($E63,'Raw Data Input'!$D:$D,0)),0)</f>
        <v>216628</v>
      </c>
      <c r="Y63" s="30">
        <f>IFERROR(INDEX('Raw Data Input'!$J:$J,MATCH($E63,'Raw Data Input'!$D:$D,0)),0)</f>
        <v>131166</v>
      </c>
      <c r="Z63" s="30">
        <f>IFERROR(INDEX('Raw Data Input'!$K:$K,MATCH($E63,'Raw Data Input'!$D:$D,0)),0)</f>
        <v>11</v>
      </c>
      <c r="AA63" s="30">
        <f>IFERROR(INDEX('Raw Data Input'!$L:$L,MATCH($E63,'Raw Data Input'!$D:$D,0)),0)</f>
        <v>382541</v>
      </c>
      <c r="AB63" s="30">
        <f>IFERROR(INDEX('Raw Data Input'!$M:$M,MATCH($E63,'Raw Data Input'!$D:$D,0)),0)</f>
        <v>-79564</v>
      </c>
      <c r="AC63" s="30">
        <f>IFERROR(INDEX('Raw Data Input'!$N:$N,MATCH($E63,'Raw Data Input'!$D:$D,0)),0)</f>
        <v>12119</v>
      </c>
      <c r="AD63" s="30">
        <f>IFERROR(INDEX('Raw Data Input'!$O:$O,MATCH($E63,'Raw Data Input'!$D:$D,0)),0)</f>
        <v>350</v>
      </c>
      <c r="AE63" s="30">
        <f>IFERROR(INDEX('Raw Data Input'!$P:$P,MATCH($E63,'Raw Data Input'!$D:$D,0)),0)</f>
        <v>3031</v>
      </c>
      <c r="AF63" s="30">
        <f>IFERROR(INDEX('Raw Data Input'!$Q:$Q,MATCH($E63,'Raw Data Input'!$D:$D,0)),0)</f>
        <v>341531</v>
      </c>
      <c r="AG63" s="30">
        <f>IFERROR(INDEX('Raw Data Input'!$R:$R,MATCH($E63,'Raw Data Input'!$D:$D,0)),0)</f>
        <v>0</v>
      </c>
      <c r="AH63" s="30">
        <f>IFERROR(INDEX('Raw Data Input'!$S:$S,MATCH($E63,'Raw Data Input'!$D:$D,0)),0)</f>
        <v>345767</v>
      </c>
      <c r="AI63" s="30">
        <f>IFERROR(INDEX('Raw Data Input'!$T:$T,MATCH($E63,'Raw Data Input'!$D:$D,0)),0)</f>
        <v>36774</v>
      </c>
    </row>
    <row r="64" spans="1:35" ht="15" customHeight="1" thickBot="1" x14ac:dyDescent="0.35">
      <c r="A64" s="81" t="s">
        <v>43</v>
      </c>
      <c r="B64" s="81" t="s">
        <v>44</v>
      </c>
      <c r="C64" s="82">
        <v>2023</v>
      </c>
      <c r="D64" s="83" t="str">
        <f t="shared" si="2"/>
        <v>UNIL-2023</v>
      </c>
      <c r="E64" s="83" t="str">
        <f t="shared" si="3"/>
        <v>UNIL-2022</v>
      </c>
      <c r="F64" s="84">
        <f>IFERROR(INDEX('Raw Data Input'!$F:$F,MATCH($D64,'Raw Data Input'!$D:$D,0)),0)</f>
        <v>908647</v>
      </c>
      <c r="G64" s="84">
        <f>IFERROR(INDEX('Raw Data Input'!$G:$G,MATCH($D64,'Raw Data Input'!$D:$D,0)),0)</f>
        <v>-569972</v>
      </c>
      <c r="H64" s="84">
        <f>IFERROR(INDEX('Raw Data Input'!$H:$H,MATCH($D64,'Raw Data Input'!$D:$D,0)),0)</f>
        <v>31902</v>
      </c>
      <c r="I64" s="84">
        <f>IFERROR(INDEX('Raw Data Input'!$I:$I,MATCH($D64,'Raw Data Input'!$D:$D,0)),0)</f>
        <v>262721</v>
      </c>
      <c r="J64" s="84">
        <f>IFERROR(INDEX('Raw Data Input'!$J:$J,MATCH($D64,'Raw Data Input'!$D:$D,0)),0)</f>
        <v>122103</v>
      </c>
      <c r="K64" s="84">
        <f>IFERROR(INDEX('Raw Data Input'!$K:$K,MATCH($D64,'Raw Data Input'!$D:$D,0)),0)</f>
        <v>11</v>
      </c>
      <c r="L64" s="84">
        <f>IFERROR(INDEX('Raw Data Input'!$L:$L,MATCH($D64,'Raw Data Input'!$D:$D,0)),0)</f>
        <v>412527</v>
      </c>
      <c r="M64" s="84">
        <f>IFERROR(INDEX('Raw Data Input'!$M:$M,MATCH($D64,'Raw Data Input'!$D:$D,0)),0)</f>
        <v>-25290</v>
      </c>
      <c r="N64" s="84">
        <f>IFERROR(INDEX('Raw Data Input'!$N:$N,MATCH($D64,'Raw Data Input'!$D:$D,0)),0)</f>
        <v>14012</v>
      </c>
      <c r="O64" s="84">
        <f>IFERROR(INDEX('Raw Data Input'!$O:$O,MATCH($D64,'Raw Data Input'!$D:$D,0)),0)</f>
        <v>141443</v>
      </c>
      <c r="P64" s="84">
        <f>IFERROR(INDEX('Raw Data Input'!$P:$P,MATCH($D64,'Raw Data Input'!$D:$D,0)),0)</f>
        <v>202182</v>
      </c>
      <c r="Q64" s="84">
        <f>IFERROR(INDEX('Raw Data Input'!$Q:$Q,MATCH($D64,'Raw Data Input'!$D:$D,0)),0)</f>
        <v>199146</v>
      </c>
      <c r="R64" s="84">
        <f>IFERROR(INDEX('Raw Data Input'!$R:$R,MATCH($D64,'Raw Data Input'!$D:$D,0)),0)</f>
        <v>0</v>
      </c>
      <c r="S64" s="84">
        <f>IFERROR(INDEX('Raw Data Input'!$S:$S,MATCH($D64,'Raw Data Input'!$D:$D,0)),0)</f>
        <v>218720</v>
      </c>
      <c r="T64" s="84">
        <f>IFERROR(INDEX('Raw Data Input'!$T:$T,MATCH($D64,'Raw Data Input'!$D:$D,0)),0)</f>
        <v>193807</v>
      </c>
      <c r="U64" s="84">
        <f>IFERROR(INDEX('Raw Data Input'!$F:$F,MATCH($E64,'Raw Data Input'!$D:$D,0)),0)</f>
        <v>631477</v>
      </c>
      <c r="V64" s="84">
        <f>IFERROR(INDEX('Raw Data Input'!$G:$G,MATCH($E64,'Raw Data Input'!$D:$D,0)),0)</f>
        <v>-475876</v>
      </c>
      <c r="W64" s="84">
        <f>IFERROR(INDEX('Raw Data Input'!$H:$H,MATCH($E64,'Raw Data Input'!$D:$D,0)),0)</f>
        <v>20943</v>
      </c>
      <c r="X64" s="84">
        <f>IFERROR(INDEX('Raw Data Input'!$I:$I,MATCH($E64,'Raw Data Input'!$D:$D,0)),0)</f>
        <v>231073</v>
      </c>
      <c r="Y64" s="84">
        <f>IFERROR(INDEX('Raw Data Input'!$J:$J,MATCH($E64,'Raw Data Input'!$D:$D,0)),0)</f>
        <v>133750</v>
      </c>
      <c r="Z64" s="84">
        <f>IFERROR(INDEX('Raw Data Input'!$K:$K,MATCH($E64,'Raw Data Input'!$D:$D,0)),0)</f>
        <v>11</v>
      </c>
      <c r="AA64" s="84">
        <f>IFERROR(INDEX('Raw Data Input'!$L:$L,MATCH($E64,'Raw Data Input'!$D:$D,0)),0)</f>
        <v>411754</v>
      </c>
      <c r="AB64" s="84">
        <f>IFERROR(INDEX('Raw Data Input'!$M:$M,MATCH($E64,'Raw Data Input'!$D:$D,0)),0)</f>
        <v>-70752</v>
      </c>
      <c r="AC64" s="84">
        <f>IFERROR(INDEX('Raw Data Input'!$N:$N,MATCH($E64,'Raw Data Input'!$D:$D,0)),0)</f>
        <v>12854</v>
      </c>
      <c r="AD64" s="84">
        <f>IFERROR(INDEX('Raw Data Input'!$O:$O,MATCH($E64,'Raw Data Input'!$D:$D,0)),0)</f>
        <v>15080</v>
      </c>
      <c r="AE64" s="84">
        <f>IFERROR(INDEX('Raw Data Input'!$P:$P,MATCH($E64,'Raw Data Input'!$D:$D,0)),0)</f>
        <v>61954</v>
      </c>
      <c r="AF64" s="84">
        <f>IFERROR(INDEX('Raw Data Input'!$Q:$Q,MATCH($E64,'Raw Data Input'!$D:$D,0)),0)</f>
        <v>345765</v>
      </c>
      <c r="AG64" s="84">
        <f>IFERROR(INDEX('Raw Data Input'!$R:$R,MATCH($E64,'Raw Data Input'!$D:$D,0)),0)</f>
        <v>0</v>
      </c>
      <c r="AH64" s="84">
        <f>IFERROR(INDEX('Raw Data Input'!$S:$S,MATCH($E64,'Raw Data Input'!$D:$D,0)),0)</f>
        <v>358936</v>
      </c>
      <c r="AI64" s="84">
        <f>IFERROR(INDEX('Raw Data Input'!$T:$T,MATCH($E64,'Raw Data Input'!$D:$D,0)),0)</f>
        <v>52818</v>
      </c>
    </row>
    <row r="65" spans="1:35" ht="15" customHeight="1" x14ac:dyDescent="0.3">
      <c r="A65" s="85" t="s">
        <v>45</v>
      </c>
      <c r="B65" s="85" t="s">
        <v>46</v>
      </c>
      <c r="C65" s="86">
        <v>2019</v>
      </c>
      <c r="D65" s="87" t="str">
        <f t="shared" si="2"/>
        <v>DIGICUT-2019</v>
      </c>
      <c r="E65" s="87" t="str">
        <f t="shared" si="3"/>
        <v>DIGICUT-2018</v>
      </c>
      <c r="F65" s="88">
        <f>IFERROR(INDEX('Raw Data Input'!$F:$F,MATCH($D65,'Raw Data Input'!$D:$D,0)),0)</f>
        <v>410457</v>
      </c>
      <c r="G65" s="88">
        <f>IFERROR(INDEX('Raw Data Input'!$G:$G,MATCH($D65,'Raw Data Input'!$D:$D,0)),0)</f>
        <v>-474937</v>
      </c>
      <c r="H65" s="88">
        <f>IFERROR(INDEX('Raw Data Input'!$H:$H,MATCH($D65,'Raw Data Input'!$D:$D,0)),0)</f>
        <v>22952</v>
      </c>
      <c r="I65" s="88">
        <f>IFERROR(INDEX('Raw Data Input'!$I:$I,MATCH($D65,'Raw Data Input'!$D:$D,0)),0)</f>
        <v>4898578</v>
      </c>
      <c r="J65" s="88">
        <f>IFERROR(INDEX('Raw Data Input'!$J:$J,MATCH($D65,'Raw Data Input'!$D:$D,0)),0)</f>
        <v>408223</v>
      </c>
      <c r="K65" s="88">
        <f>IFERROR(INDEX('Raw Data Input'!$K:$K,MATCH($D65,'Raw Data Input'!$D:$D,0)),0)</f>
        <v>0</v>
      </c>
      <c r="L65" s="88">
        <f>IFERROR(INDEX('Raw Data Input'!$L:$L,MATCH($D65,'Raw Data Input'!$D:$D,0)),0)</f>
        <v>5832093</v>
      </c>
      <c r="M65" s="88">
        <f>IFERROR(INDEX('Raw Data Input'!$M:$M,MATCH($D65,'Raw Data Input'!$D:$D,0)),0)</f>
        <v>-4455346</v>
      </c>
      <c r="N65" s="88">
        <f>IFERROR(INDEX('Raw Data Input'!$N:$N,MATCH($D65,'Raw Data Input'!$D:$D,0)),0)</f>
        <v>47981</v>
      </c>
      <c r="O65" s="88">
        <f>IFERROR(INDEX('Raw Data Input'!$O:$O,MATCH($D65,'Raw Data Input'!$D:$D,0)),0)</f>
        <v>-1096164</v>
      </c>
      <c r="P65" s="88">
        <f>IFERROR(INDEX('Raw Data Input'!$P:$P,MATCH($D65,'Raw Data Input'!$D:$D,0)),0)</f>
        <v>-1622810</v>
      </c>
      <c r="Q65" s="88">
        <f>IFERROR(INDEX('Raw Data Input'!$Q:$Q,MATCH($D65,'Raw Data Input'!$D:$D,0)),0)</f>
        <v>1244723</v>
      </c>
      <c r="R65" s="88">
        <f>IFERROR(INDEX('Raw Data Input'!$R:$R,MATCH($D65,'Raw Data Input'!$D:$D,0)),0)</f>
        <v>1011625</v>
      </c>
      <c r="S65" s="88">
        <f>IFERROR(INDEX('Raw Data Input'!$S:$S,MATCH($D65,'Raw Data Input'!$D:$D,0)),0)</f>
        <v>2256348</v>
      </c>
      <c r="T65" s="88">
        <f>IFERROR(INDEX('Raw Data Input'!$T:$T,MATCH($D65,'Raw Data Input'!$D:$D,0)),0)</f>
        <v>3575745</v>
      </c>
      <c r="U65" s="88">
        <f>IFERROR(INDEX('Raw Data Input'!$F:$F,MATCH($E65,'Raw Data Input'!$D:$D,0)),0)</f>
        <v>2204680</v>
      </c>
      <c r="V65" s="88">
        <f>IFERROR(INDEX('Raw Data Input'!$G:$G,MATCH($E65,'Raw Data Input'!$D:$D,0)),0)</f>
        <v>-700248</v>
      </c>
      <c r="W65" s="88">
        <f>IFERROR(INDEX('Raw Data Input'!$H:$H,MATCH($E65,'Raw Data Input'!$D:$D,0)),0)</f>
        <v>0</v>
      </c>
      <c r="X65" s="88">
        <f>IFERROR(INDEX('Raw Data Input'!$I:$I,MATCH($E65,'Raw Data Input'!$D:$D,0)),0)</f>
        <v>5373957</v>
      </c>
      <c r="Y65" s="88">
        <f>IFERROR(INDEX('Raw Data Input'!$J:$J,MATCH($E65,'Raw Data Input'!$D:$D,0)),0)</f>
        <v>861804</v>
      </c>
      <c r="Z65" s="88">
        <f>IFERROR(INDEX('Raw Data Input'!$K:$K,MATCH($E65,'Raw Data Input'!$D:$D,0)),0)</f>
        <v>0</v>
      </c>
      <c r="AA65" s="88">
        <f>IFERROR(INDEX('Raw Data Input'!$L:$L,MATCH($E65,'Raw Data Input'!$D:$D,0)),0)</f>
        <v>6761053</v>
      </c>
      <c r="AB65" s="88">
        <f>IFERROR(INDEX('Raw Data Input'!$M:$M,MATCH($E65,'Raw Data Input'!$D:$D,0)),0)</f>
        <v>-2387463</v>
      </c>
      <c r="AC65" s="88">
        <f>IFERROR(INDEX('Raw Data Input'!$N:$N,MATCH($E65,'Raw Data Input'!$D:$D,0)),0)</f>
        <v>463826</v>
      </c>
      <c r="AD65" s="88">
        <f>IFERROR(INDEX('Raw Data Input'!$O:$O,MATCH($E65,'Raw Data Input'!$D:$D,0)),0)</f>
        <v>-908580</v>
      </c>
      <c r="AE65" s="88">
        <f>IFERROR(INDEX('Raw Data Input'!$P:$P,MATCH($E65,'Raw Data Input'!$D:$D,0)),0)</f>
        <v>-536710</v>
      </c>
      <c r="AF65" s="88">
        <f>IFERROR(INDEX('Raw Data Input'!$Q:$Q,MATCH($E65,'Raw Data Input'!$D:$D,0)),0)</f>
        <v>1083519</v>
      </c>
      <c r="AG65" s="88">
        <f>IFERROR(INDEX('Raw Data Input'!$R:$R,MATCH($E65,'Raw Data Input'!$D:$D,0)),0)</f>
        <v>1005625</v>
      </c>
      <c r="AH65" s="88">
        <f>IFERROR(INDEX('Raw Data Input'!$S:$S,MATCH($E65,'Raw Data Input'!$D:$D,0)),0)</f>
        <v>2089144</v>
      </c>
      <c r="AI65" s="88">
        <f>IFERROR(INDEX('Raw Data Input'!$T:$T,MATCH($E65,'Raw Data Input'!$D:$D,0)),0)</f>
        <v>4671909</v>
      </c>
    </row>
    <row r="66" spans="1:35" ht="15" customHeight="1" x14ac:dyDescent="0.3">
      <c r="A66" s="27" t="s">
        <v>45</v>
      </c>
      <c r="B66" s="27" t="s">
        <v>46</v>
      </c>
      <c r="C66" s="28">
        <v>2020</v>
      </c>
      <c r="D66" s="29" t="str">
        <f t="shared" si="2"/>
        <v>DIGICUT-2020</v>
      </c>
      <c r="E66" s="29" t="str">
        <f t="shared" si="3"/>
        <v>DIGICUT-2019</v>
      </c>
      <c r="F66" s="30">
        <f>IFERROR(INDEX('Raw Data Input'!$F:$F,MATCH($D66,'Raw Data Input'!$D:$D,0)),0)</f>
        <v>60714</v>
      </c>
      <c r="G66" s="30">
        <f>IFERROR(INDEX('Raw Data Input'!$G:$G,MATCH($D66,'Raw Data Input'!$D:$D,0)),0)</f>
        <v>-49932</v>
      </c>
      <c r="H66" s="30">
        <f>IFERROR(INDEX('Raw Data Input'!$H:$H,MATCH($D66,'Raw Data Input'!$D:$D,0)),0)</f>
        <v>19584</v>
      </c>
      <c r="I66" s="30">
        <f>IFERROR(INDEX('Raw Data Input'!$I:$I,MATCH($D66,'Raw Data Input'!$D:$D,0)),0)</f>
        <v>4887522</v>
      </c>
      <c r="J66" s="30">
        <f>IFERROR(INDEX('Raw Data Input'!$J:$J,MATCH($D66,'Raw Data Input'!$D:$D,0)),0)</f>
        <v>107377</v>
      </c>
      <c r="K66" s="30">
        <f>IFERROR(INDEX('Raw Data Input'!$K:$K,MATCH($D66,'Raw Data Input'!$D:$D,0)),0)</f>
        <v>0</v>
      </c>
      <c r="L66" s="30">
        <f>IFERROR(INDEX('Raw Data Input'!$L:$L,MATCH($D66,'Raw Data Input'!$D:$D,0)),0)</f>
        <v>5520191</v>
      </c>
      <c r="M66" s="30">
        <f>IFERROR(INDEX('Raw Data Input'!$M:$M,MATCH($D66,'Raw Data Input'!$D:$D,0)),0)</f>
        <v>-680971</v>
      </c>
      <c r="N66" s="30">
        <f>IFERROR(INDEX('Raw Data Input'!$N:$N,MATCH($D66,'Raw Data Input'!$D:$D,0)),0)</f>
        <v>300846</v>
      </c>
      <c r="O66" s="30">
        <f>IFERROR(INDEX('Raw Data Input'!$O:$O,MATCH($D66,'Raw Data Input'!$D:$D,0)),0)</f>
        <v>-670189</v>
      </c>
      <c r="P66" s="30">
        <f>IFERROR(INDEX('Raw Data Input'!$P:$P,MATCH($D66,'Raw Data Input'!$D:$D,0)),0)</f>
        <v>-22855</v>
      </c>
      <c r="Q66" s="30">
        <f>IFERROR(INDEX('Raw Data Input'!$Q:$Q,MATCH($D66,'Raw Data Input'!$D:$D,0)),0)</f>
        <v>1595202</v>
      </c>
      <c r="R66" s="30">
        <f>IFERROR(INDEX('Raw Data Input'!$R:$R,MATCH($D66,'Raw Data Input'!$D:$D,0)),0)</f>
        <v>1019433</v>
      </c>
      <c r="S66" s="30">
        <f>IFERROR(INDEX('Raw Data Input'!$S:$S,MATCH($D66,'Raw Data Input'!$D:$D,0)),0)</f>
        <v>2614635</v>
      </c>
      <c r="T66" s="30">
        <f>IFERROR(INDEX('Raw Data Input'!$T:$T,MATCH($D66,'Raw Data Input'!$D:$D,0)),0)</f>
        <v>2905556</v>
      </c>
      <c r="U66" s="30">
        <f>IFERROR(INDEX('Raw Data Input'!$F:$F,MATCH($E66,'Raw Data Input'!$D:$D,0)),0)</f>
        <v>410457</v>
      </c>
      <c r="V66" s="30">
        <f>IFERROR(INDEX('Raw Data Input'!$G:$G,MATCH($E66,'Raw Data Input'!$D:$D,0)),0)</f>
        <v>-474937</v>
      </c>
      <c r="W66" s="30">
        <f>IFERROR(INDEX('Raw Data Input'!$H:$H,MATCH($E66,'Raw Data Input'!$D:$D,0)),0)</f>
        <v>22952</v>
      </c>
      <c r="X66" s="30">
        <f>IFERROR(INDEX('Raw Data Input'!$I:$I,MATCH($E66,'Raw Data Input'!$D:$D,0)),0)</f>
        <v>4898578</v>
      </c>
      <c r="Y66" s="30">
        <f>IFERROR(INDEX('Raw Data Input'!$J:$J,MATCH($E66,'Raw Data Input'!$D:$D,0)),0)</f>
        <v>408223</v>
      </c>
      <c r="Z66" s="30">
        <f>IFERROR(INDEX('Raw Data Input'!$K:$K,MATCH($E66,'Raw Data Input'!$D:$D,0)),0)</f>
        <v>0</v>
      </c>
      <c r="AA66" s="30">
        <f>IFERROR(INDEX('Raw Data Input'!$L:$L,MATCH($E66,'Raw Data Input'!$D:$D,0)),0)</f>
        <v>5832093</v>
      </c>
      <c r="AB66" s="30">
        <f>IFERROR(INDEX('Raw Data Input'!$M:$M,MATCH($E66,'Raw Data Input'!$D:$D,0)),0)</f>
        <v>-4455346</v>
      </c>
      <c r="AC66" s="30">
        <f>IFERROR(INDEX('Raw Data Input'!$N:$N,MATCH($E66,'Raw Data Input'!$D:$D,0)),0)</f>
        <v>47981</v>
      </c>
      <c r="AD66" s="30">
        <f>IFERROR(INDEX('Raw Data Input'!$O:$O,MATCH($E66,'Raw Data Input'!$D:$D,0)),0)</f>
        <v>-1096164</v>
      </c>
      <c r="AE66" s="30">
        <f>IFERROR(INDEX('Raw Data Input'!$P:$P,MATCH($E66,'Raw Data Input'!$D:$D,0)),0)</f>
        <v>-1622810</v>
      </c>
      <c r="AF66" s="30">
        <f>IFERROR(INDEX('Raw Data Input'!$Q:$Q,MATCH($E66,'Raw Data Input'!$D:$D,0)),0)</f>
        <v>1244723</v>
      </c>
      <c r="AG66" s="30">
        <f>IFERROR(INDEX('Raw Data Input'!$R:$R,MATCH($E66,'Raw Data Input'!$D:$D,0)),0)</f>
        <v>1011625</v>
      </c>
      <c r="AH66" s="30">
        <f>IFERROR(INDEX('Raw Data Input'!$S:$S,MATCH($E66,'Raw Data Input'!$D:$D,0)),0)</f>
        <v>2256348</v>
      </c>
      <c r="AI66" s="30">
        <f>IFERROR(INDEX('Raw Data Input'!$T:$T,MATCH($E66,'Raw Data Input'!$D:$D,0)),0)</f>
        <v>3575745</v>
      </c>
    </row>
    <row r="67" spans="1:35" ht="15" customHeight="1" x14ac:dyDescent="0.3">
      <c r="A67" s="27" t="s">
        <v>45</v>
      </c>
      <c r="B67" s="27" t="s">
        <v>46</v>
      </c>
      <c r="C67" s="28">
        <v>2021</v>
      </c>
      <c r="D67" s="29" t="str">
        <f t="shared" si="2"/>
        <v>DIGICUT-2021</v>
      </c>
      <c r="E67" s="29" t="str">
        <f t="shared" si="3"/>
        <v>DIGICUT-2020</v>
      </c>
      <c r="F67" s="30">
        <f>IFERROR(INDEX('Raw Data Input'!$F:$F,MATCH($D67,'Raw Data Input'!$D:$D,0)),0)</f>
        <v>183701</v>
      </c>
      <c r="G67" s="30">
        <f>IFERROR(INDEX('Raw Data Input'!$G:$G,MATCH($D67,'Raw Data Input'!$D:$D,0)),0)</f>
        <v>-75195</v>
      </c>
      <c r="H67" s="30">
        <f>IFERROR(INDEX('Raw Data Input'!$H:$H,MATCH($D67,'Raw Data Input'!$D:$D,0)),0)</f>
        <v>20452</v>
      </c>
      <c r="I67" s="30">
        <f>IFERROR(INDEX('Raw Data Input'!$I:$I,MATCH($D67,'Raw Data Input'!$D:$D,0)),0)</f>
        <v>4798692</v>
      </c>
      <c r="J67" s="30">
        <f>IFERROR(INDEX('Raw Data Input'!$J:$J,MATCH($D67,'Raw Data Input'!$D:$D,0)),0)</f>
        <v>18742</v>
      </c>
      <c r="K67" s="30">
        <f>IFERROR(INDEX('Raw Data Input'!$K:$K,MATCH($D67,'Raw Data Input'!$D:$D,0)),0)</f>
        <v>0</v>
      </c>
      <c r="L67" s="30">
        <f>IFERROR(INDEX('Raw Data Input'!$L:$L,MATCH($D67,'Raw Data Input'!$D:$D,0)),0)</f>
        <v>5342727</v>
      </c>
      <c r="M67" s="30">
        <f>IFERROR(INDEX('Raw Data Input'!$M:$M,MATCH($D67,'Raw Data Input'!$D:$D,0)),0)</f>
        <v>-279013</v>
      </c>
      <c r="N67" s="30">
        <f>IFERROR(INDEX('Raw Data Input'!$N:$N,MATCH($D67,'Raw Data Input'!$D:$D,0)),0)</f>
        <v>88635</v>
      </c>
      <c r="O67" s="30">
        <f>IFERROR(INDEX('Raw Data Input'!$O:$O,MATCH($D67,'Raw Data Input'!$D:$D,0)),0)</f>
        <v>-170507</v>
      </c>
      <c r="P67" s="30">
        <f>IFERROR(INDEX('Raw Data Input'!$P:$P,MATCH($D67,'Raw Data Input'!$D:$D,0)),0)</f>
        <v>54202</v>
      </c>
      <c r="Q67" s="30">
        <f>IFERROR(INDEX('Raw Data Input'!$Q:$Q,MATCH($D67,'Raw Data Input'!$D:$D,0)),0)</f>
        <v>1588245</v>
      </c>
      <c r="R67" s="30">
        <f>IFERROR(INDEX('Raw Data Input'!$R:$R,MATCH($D67,'Raw Data Input'!$D:$D,0)),0)</f>
        <v>1019433</v>
      </c>
      <c r="S67" s="30">
        <f>IFERROR(INDEX('Raw Data Input'!$S:$S,MATCH($D67,'Raw Data Input'!$D:$D,0)),0)</f>
        <v>2607678</v>
      </c>
      <c r="T67" s="30">
        <f>IFERROR(INDEX('Raw Data Input'!$T:$T,MATCH($D67,'Raw Data Input'!$D:$D,0)),0)</f>
        <v>2735049</v>
      </c>
      <c r="U67" s="30">
        <f>IFERROR(INDEX('Raw Data Input'!$F:$F,MATCH($E67,'Raw Data Input'!$D:$D,0)),0)</f>
        <v>60714</v>
      </c>
      <c r="V67" s="30">
        <f>IFERROR(INDEX('Raw Data Input'!$G:$G,MATCH($E67,'Raw Data Input'!$D:$D,0)),0)</f>
        <v>-49932</v>
      </c>
      <c r="W67" s="30">
        <f>IFERROR(INDEX('Raw Data Input'!$H:$H,MATCH($E67,'Raw Data Input'!$D:$D,0)),0)</f>
        <v>19584</v>
      </c>
      <c r="X67" s="30">
        <f>IFERROR(INDEX('Raw Data Input'!$I:$I,MATCH($E67,'Raw Data Input'!$D:$D,0)),0)</f>
        <v>4887522</v>
      </c>
      <c r="Y67" s="30">
        <f>IFERROR(INDEX('Raw Data Input'!$J:$J,MATCH($E67,'Raw Data Input'!$D:$D,0)),0)</f>
        <v>107377</v>
      </c>
      <c r="Z67" s="30">
        <f>IFERROR(INDEX('Raw Data Input'!$K:$K,MATCH($E67,'Raw Data Input'!$D:$D,0)),0)</f>
        <v>0</v>
      </c>
      <c r="AA67" s="30">
        <f>IFERROR(INDEX('Raw Data Input'!$L:$L,MATCH($E67,'Raw Data Input'!$D:$D,0)),0)</f>
        <v>5520191</v>
      </c>
      <c r="AB67" s="30">
        <f>IFERROR(INDEX('Raw Data Input'!$M:$M,MATCH($E67,'Raw Data Input'!$D:$D,0)),0)</f>
        <v>-680971</v>
      </c>
      <c r="AC67" s="30">
        <f>IFERROR(INDEX('Raw Data Input'!$N:$N,MATCH($E67,'Raw Data Input'!$D:$D,0)),0)</f>
        <v>300846</v>
      </c>
      <c r="AD67" s="30">
        <f>IFERROR(INDEX('Raw Data Input'!$O:$O,MATCH($E67,'Raw Data Input'!$D:$D,0)),0)</f>
        <v>-670189</v>
      </c>
      <c r="AE67" s="30">
        <f>IFERROR(INDEX('Raw Data Input'!$P:$P,MATCH($E67,'Raw Data Input'!$D:$D,0)),0)</f>
        <v>-22855</v>
      </c>
      <c r="AF67" s="30">
        <f>IFERROR(INDEX('Raw Data Input'!$Q:$Q,MATCH($E67,'Raw Data Input'!$D:$D,0)),0)</f>
        <v>1595202</v>
      </c>
      <c r="AG67" s="30">
        <f>IFERROR(INDEX('Raw Data Input'!$R:$R,MATCH($E67,'Raw Data Input'!$D:$D,0)),0)</f>
        <v>1019433</v>
      </c>
      <c r="AH67" s="30">
        <f>IFERROR(INDEX('Raw Data Input'!$S:$S,MATCH($E67,'Raw Data Input'!$D:$D,0)),0)</f>
        <v>2614635</v>
      </c>
      <c r="AI67" s="30">
        <f>IFERROR(INDEX('Raw Data Input'!$T:$T,MATCH($E67,'Raw Data Input'!$D:$D,0)),0)</f>
        <v>2905556</v>
      </c>
    </row>
    <row r="68" spans="1:35" ht="15" customHeight="1" x14ac:dyDescent="0.3">
      <c r="A68" s="27" t="s">
        <v>45</v>
      </c>
      <c r="B68" s="27" t="s">
        <v>46</v>
      </c>
      <c r="C68" s="28">
        <v>2022</v>
      </c>
      <c r="D68" s="29" t="str">
        <f t="shared" si="2"/>
        <v>DIGICUT-2022</v>
      </c>
      <c r="E68" s="29" t="str">
        <f t="shared" si="3"/>
        <v>DIGICUT-2021</v>
      </c>
      <c r="F68" s="30">
        <f>IFERROR(INDEX('Raw Data Input'!$F:$F,MATCH($D68,'Raw Data Input'!$D:$D,0)),0)</f>
        <v>254160</v>
      </c>
      <c r="G68" s="30">
        <f>IFERROR(INDEX('Raw Data Input'!$G:$G,MATCH($D68,'Raw Data Input'!$D:$D,0)),0)</f>
        <v>-141135</v>
      </c>
      <c r="H68" s="30">
        <f>IFERROR(INDEX('Raw Data Input'!$H:$H,MATCH($D68,'Raw Data Input'!$D:$D,0)),0)</f>
        <v>28146</v>
      </c>
      <c r="I68" s="30">
        <f>IFERROR(INDEX('Raw Data Input'!$I:$I,MATCH($D68,'Raw Data Input'!$D:$D,0)),0)</f>
        <v>4788161</v>
      </c>
      <c r="J68" s="30">
        <f>IFERROR(INDEX('Raw Data Input'!$J:$J,MATCH($D68,'Raw Data Input'!$D:$D,0)),0)</f>
        <v>12375</v>
      </c>
      <c r="K68" s="30">
        <f>IFERROR(INDEX('Raw Data Input'!$K:$K,MATCH($D68,'Raw Data Input'!$D:$D,0)),0)</f>
        <v>0</v>
      </c>
      <c r="L68" s="30">
        <f>IFERROR(INDEX('Raw Data Input'!$L:$L,MATCH($D68,'Raw Data Input'!$D:$D,0)),0)</f>
        <v>5325828</v>
      </c>
      <c r="M68" s="30">
        <f>IFERROR(INDEX('Raw Data Input'!$M:$M,MATCH($D68,'Raw Data Input'!$D:$D,0)),0)</f>
        <v>-235701</v>
      </c>
      <c r="N68" s="30">
        <f>IFERROR(INDEX('Raw Data Input'!$N:$N,MATCH($D68,'Raw Data Input'!$D:$D,0)),0)</f>
        <v>6368</v>
      </c>
      <c r="O68" s="30">
        <f>IFERROR(INDEX('Raw Data Input'!$O:$O,MATCH($D68,'Raw Data Input'!$D:$D,0)),0)</f>
        <v>-100672</v>
      </c>
      <c r="P68" s="30">
        <f>IFERROR(INDEX('Raw Data Input'!$P:$P,MATCH($D68,'Raw Data Input'!$D:$D,0)),0)</f>
        <v>-48403</v>
      </c>
      <c r="Q68" s="30">
        <f>IFERROR(INDEX('Raw Data Input'!$Q:$Q,MATCH($D68,'Raw Data Input'!$D:$D,0)),0)</f>
        <v>1672017</v>
      </c>
      <c r="R68" s="30">
        <f>IFERROR(INDEX('Raw Data Input'!$R:$R,MATCH($D68,'Raw Data Input'!$D:$D,0)),0)</f>
        <v>1019433</v>
      </c>
      <c r="S68" s="30">
        <f>IFERROR(INDEX('Raw Data Input'!$S:$S,MATCH($D68,'Raw Data Input'!$D:$D,0)),0)</f>
        <v>2691450</v>
      </c>
      <c r="T68" s="30">
        <f>IFERROR(INDEX('Raw Data Input'!$T:$T,MATCH($D68,'Raw Data Input'!$D:$D,0)),0)</f>
        <v>2634378</v>
      </c>
      <c r="U68" s="30">
        <f>IFERROR(INDEX('Raw Data Input'!$F:$F,MATCH($E68,'Raw Data Input'!$D:$D,0)),0)</f>
        <v>183701</v>
      </c>
      <c r="V68" s="30">
        <f>IFERROR(INDEX('Raw Data Input'!$G:$G,MATCH($E68,'Raw Data Input'!$D:$D,0)),0)</f>
        <v>-75195</v>
      </c>
      <c r="W68" s="30">
        <f>IFERROR(INDEX('Raw Data Input'!$H:$H,MATCH($E68,'Raw Data Input'!$D:$D,0)),0)</f>
        <v>20452</v>
      </c>
      <c r="X68" s="30">
        <f>IFERROR(INDEX('Raw Data Input'!$I:$I,MATCH($E68,'Raw Data Input'!$D:$D,0)),0)</f>
        <v>4798692</v>
      </c>
      <c r="Y68" s="30">
        <f>IFERROR(INDEX('Raw Data Input'!$J:$J,MATCH($E68,'Raw Data Input'!$D:$D,0)),0)</f>
        <v>18742</v>
      </c>
      <c r="Z68" s="30">
        <f>IFERROR(INDEX('Raw Data Input'!$K:$K,MATCH($E68,'Raw Data Input'!$D:$D,0)),0)</f>
        <v>0</v>
      </c>
      <c r="AA68" s="30">
        <f>IFERROR(INDEX('Raw Data Input'!$L:$L,MATCH($E68,'Raw Data Input'!$D:$D,0)),0)</f>
        <v>5342727</v>
      </c>
      <c r="AB68" s="30">
        <f>IFERROR(INDEX('Raw Data Input'!$M:$M,MATCH($E68,'Raw Data Input'!$D:$D,0)),0)</f>
        <v>-279013</v>
      </c>
      <c r="AC68" s="30">
        <f>IFERROR(INDEX('Raw Data Input'!$N:$N,MATCH($E68,'Raw Data Input'!$D:$D,0)),0)</f>
        <v>88635</v>
      </c>
      <c r="AD68" s="30">
        <f>IFERROR(INDEX('Raw Data Input'!$O:$O,MATCH($E68,'Raw Data Input'!$D:$D,0)),0)</f>
        <v>-170507</v>
      </c>
      <c r="AE68" s="30">
        <f>IFERROR(INDEX('Raw Data Input'!$P:$P,MATCH($E68,'Raw Data Input'!$D:$D,0)),0)</f>
        <v>54202</v>
      </c>
      <c r="AF68" s="30">
        <f>IFERROR(INDEX('Raw Data Input'!$Q:$Q,MATCH($E68,'Raw Data Input'!$D:$D,0)),0)</f>
        <v>1588245</v>
      </c>
      <c r="AG68" s="30">
        <f>IFERROR(INDEX('Raw Data Input'!$R:$R,MATCH($E68,'Raw Data Input'!$D:$D,0)),0)</f>
        <v>1019433</v>
      </c>
      <c r="AH68" s="30">
        <f>IFERROR(INDEX('Raw Data Input'!$S:$S,MATCH($E68,'Raw Data Input'!$D:$D,0)),0)</f>
        <v>2607678</v>
      </c>
      <c r="AI68" s="30">
        <f>IFERROR(INDEX('Raw Data Input'!$T:$T,MATCH($E68,'Raw Data Input'!$D:$D,0)),0)</f>
        <v>2735049</v>
      </c>
    </row>
    <row r="69" spans="1:35" ht="15" customHeight="1" thickBot="1" x14ac:dyDescent="0.35">
      <c r="A69" s="70" t="s">
        <v>45</v>
      </c>
      <c r="B69" s="70" t="s">
        <v>46</v>
      </c>
      <c r="C69" s="71">
        <v>2023</v>
      </c>
      <c r="D69" s="72" t="str">
        <f t="shared" ref="D69:D98" si="4">A69&amp;"-"&amp;C69</f>
        <v>DIGICUT-2023</v>
      </c>
      <c r="E69" s="72" t="str">
        <f t="shared" ref="E69:E98" si="5">A69&amp;"-"&amp;(C69-1)</f>
        <v>DIGICUT-2022</v>
      </c>
      <c r="F69" s="73">
        <f>IFERROR(INDEX('Raw Data Input'!$F:$F,MATCH($D69,'Raw Data Input'!$D:$D,0)),0)</f>
        <v>433042</v>
      </c>
      <c r="G69" s="73">
        <f>IFERROR(INDEX('Raw Data Input'!$G:$G,MATCH($D69,'Raw Data Input'!$D:$D,0)),0)</f>
        <v>-203546</v>
      </c>
      <c r="H69" s="73">
        <f>IFERROR(INDEX('Raw Data Input'!$H:$H,MATCH($D69,'Raw Data Input'!$D:$D,0)),0)</f>
        <v>0</v>
      </c>
      <c r="I69" s="73">
        <f>IFERROR(INDEX('Raw Data Input'!$I:$I,MATCH($D69,'Raw Data Input'!$D:$D,0)),0)</f>
        <v>4780919</v>
      </c>
      <c r="J69" s="73">
        <f>IFERROR(INDEX('Raw Data Input'!$J:$J,MATCH($D69,'Raw Data Input'!$D:$D,0)),0)</f>
        <v>532941</v>
      </c>
      <c r="K69" s="73">
        <f>IFERROR(INDEX('Raw Data Input'!$K:$K,MATCH($D69,'Raw Data Input'!$D:$D,0)),0)</f>
        <v>0</v>
      </c>
      <c r="L69" s="73">
        <f>IFERROR(INDEX('Raw Data Input'!$L:$L,MATCH($D69,'Raw Data Input'!$D:$D,0)),0)</f>
        <v>5313860</v>
      </c>
      <c r="M69" s="73">
        <f>IFERROR(INDEX('Raw Data Input'!$M:$M,MATCH($D69,'Raw Data Input'!$D:$D,0)),0)</f>
        <v>-321182</v>
      </c>
      <c r="N69" s="73">
        <f>IFERROR(INDEX('Raw Data Input'!$N:$N,MATCH($D69,'Raw Data Input'!$D:$D,0)),0)</f>
        <v>4726</v>
      </c>
      <c r="O69" s="73">
        <f>IFERROR(INDEX('Raw Data Input'!$O:$O,MATCH($D69,'Raw Data Input'!$D:$D,0)),0)</f>
        <v>-78170</v>
      </c>
      <c r="P69" s="73">
        <f>IFERROR(INDEX('Raw Data Input'!$P:$P,MATCH($D69,'Raw Data Input'!$D:$D,0)),0)</f>
        <v>22575</v>
      </c>
      <c r="Q69" s="73">
        <f>IFERROR(INDEX('Raw Data Input'!$Q:$Q,MATCH($D69,'Raw Data Input'!$D:$D,0)),0)</f>
        <v>1738218</v>
      </c>
      <c r="R69" s="73">
        <f>IFERROR(INDEX('Raw Data Input'!$R:$R,MATCH($D69,'Raw Data Input'!$D:$D,0)),0)</f>
        <v>0</v>
      </c>
      <c r="S69" s="73">
        <f>IFERROR(INDEX('Raw Data Input'!$S:$S,MATCH($D69,'Raw Data Input'!$D:$D,0)),0)</f>
        <v>2757651</v>
      </c>
      <c r="T69" s="73">
        <f>IFERROR(INDEX('Raw Data Input'!$T:$T,MATCH($D69,'Raw Data Input'!$D:$D,0)),0)</f>
        <v>2556208</v>
      </c>
      <c r="U69" s="73">
        <f>IFERROR(INDEX('Raw Data Input'!$F:$F,MATCH($E69,'Raw Data Input'!$D:$D,0)),0)</f>
        <v>254160</v>
      </c>
      <c r="V69" s="73">
        <f>IFERROR(INDEX('Raw Data Input'!$G:$G,MATCH($E69,'Raw Data Input'!$D:$D,0)),0)</f>
        <v>-141135</v>
      </c>
      <c r="W69" s="73">
        <f>IFERROR(INDEX('Raw Data Input'!$H:$H,MATCH($E69,'Raw Data Input'!$D:$D,0)),0)</f>
        <v>28146</v>
      </c>
      <c r="X69" s="73">
        <f>IFERROR(INDEX('Raw Data Input'!$I:$I,MATCH($E69,'Raw Data Input'!$D:$D,0)),0)</f>
        <v>4788161</v>
      </c>
      <c r="Y69" s="73">
        <f>IFERROR(INDEX('Raw Data Input'!$J:$J,MATCH($E69,'Raw Data Input'!$D:$D,0)),0)</f>
        <v>12375</v>
      </c>
      <c r="Z69" s="73">
        <f>IFERROR(INDEX('Raw Data Input'!$K:$K,MATCH($E69,'Raw Data Input'!$D:$D,0)),0)</f>
        <v>0</v>
      </c>
      <c r="AA69" s="73">
        <f>IFERROR(INDEX('Raw Data Input'!$L:$L,MATCH($E69,'Raw Data Input'!$D:$D,0)),0)</f>
        <v>5325828</v>
      </c>
      <c r="AB69" s="73">
        <f>IFERROR(INDEX('Raw Data Input'!$M:$M,MATCH($E69,'Raw Data Input'!$D:$D,0)),0)</f>
        <v>-235701</v>
      </c>
      <c r="AC69" s="73">
        <f>IFERROR(INDEX('Raw Data Input'!$N:$N,MATCH($E69,'Raw Data Input'!$D:$D,0)),0)</f>
        <v>6368</v>
      </c>
      <c r="AD69" s="73">
        <f>IFERROR(INDEX('Raw Data Input'!$O:$O,MATCH($E69,'Raw Data Input'!$D:$D,0)),0)</f>
        <v>-100672</v>
      </c>
      <c r="AE69" s="73">
        <f>IFERROR(INDEX('Raw Data Input'!$P:$P,MATCH($E69,'Raw Data Input'!$D:$D,0)),0)</f>
        <v>-48403</v>
      </c>
      <c r="AF69" s="73">
        <f>IFERROR(INDEX('Raw Data Input'!$Q:$Q,MATCH($E69,'Raw Data Input'!$D:$D,0)),0)</f>
        <v>1672017</v>
      </c>
      <c r="AG69" s="73">
        <f>IFERROR(INDEX('Raw Data Input'!$R:$R,MATCH($E69,'Raw Data Input'!$D:$D,0)),0)</f>
        <v>1019433</v>
      </c>
      <c r="AH69" s="73">
        <f>IFERROR(INDEX('Raw Data Input'!$S:$S,MATCH($E69,'Raw Data Input'!$D:$D,0)),0)</f>
        <v>2691450</v>
      </c>
      <c r="AI69" s="73">
        <f>IFERROR(INDEX('Raw Data Input'!$T:$T,MATCH($E69,'Raw Data Input'!$D:$D,0)),0)</f>
        <v>2634378</v>
      </c>
    </row>
    <row r="70" spans="1:35" ht="15" customHeight="1" x14ac:dyDescent="0.3">
      <c r="A70" s="77" t="s">
        <v>49</v>
      </c>
      <c r="B70" s="77" t="s">
        <v>50</v>
      </c>
      <c r="C70" s="78">
        <v>2019</v>
      </c>
      <c r="D70" s="79" t="str">
        <f t="shared" si="4"/>
        <v>HORDS-2019</v>
      </c>
      <c r="E70" s="79" t="str">
        <f t="shared" si="5"/>
        <v>HORDS-2018</v>
      </c>
      <c r="F70" s="80">
        <f>IFERROR(INDEX('Raw Data Input'!$F:$F,MATCH($D70,'Raw Data Input'!$D:$D,0)),0)</f>
        <v>3124425</v>
      </c>
      <c r="G70" s="80">
        <f>IFERROR(INDEX('Raw Data Input'!$G:$G,MATCH($D70,'Raw Data Input'!$D:$D,0)),0)</f>
        <v>-2041136</v>
      </c>
      <c r="H70" s="80">
        <f>IFERROR(INDEX('Raw Data Input'!$H:$H,MATCH($D70,'Raw Data Input'!$D:$D,0)),0)</f>
        <v>332922</v>
      </c>
      <c r="I70" s="80">
        <f>IFERROR(INDEX('Raw Data Input'!$I:$I,MATCH($D70,'Raw Data Input'!$D:$D,0)),0)</f>
        <v>3517580</v>
      </c>
      <c r="J70" s="80">
        <f>IFERROR(INDEX('Raw Data Input'!$J:$J,MATCH($D70,'Raw Data Input'!$D:$D,0)),0)</f>
        <v>1130047</v>
      </c>
      <c r="K70" s="80">
        <f>IFERROR(INDEX('Raw Data Input'!$K:$K,MATCH($D70,'Raw Data Input'!$D:$D,0)),0)</f>
        <v>0</v>
      </c>
      <c r="L70" s="80">
        <f>IFERROR(INDEX('Raw Data Input'!$L:$L,MATCH($D70,'Raw Data Input'!$D:$D,0)),0)</f>
        <v>4945692</v>
      </c>
      <c r="M70" s="80">
        <f>IFERROR(INDEX('Raw Data Input'!$M:$M,MATCH($D70,'Raw Data Input'!$D:$D,0)),0)</f>
        <v>-762949</v>
      </c>
      <c r="N70" s="80">
        <f>IFERROR(INDEX('Raw Data Input'!$N:$N,MATCH($D70,'Raw Data Input'!$D:$D,0)),0)</f>
        <v>141037</v>
      </c>
      <c r="O70" s="80">
        <f>IFERROR(INDEX('Raw Data Input'!$O:$O,MATCH($D70,'Raw Data Input'!$D:$D,0)),0)</f>
        <v>345904</v>
      </c>
      <c r="P70" s="80">
        <f>IFERROR(INDEX('Raw Data Input'!$P:$P,MATCH($D70,'Raw Data Input'!$D:$D,0)),0)</f>
        <v>86439</v>
      </c>
      <c r="Q70" s="80">
        <f>IFERROR(INDEX('Raw Data Input'!$Q:$Q,MATCH($D70,'Raw Data Input'!$D:$D,0)),0)</f>
        <v>413675</v>
      </c>
      <c r="R70" s="80">
        <f>IFERROR(INDEX('Raw Data Input'!$R:$R,MATCH($D70,'Raw Data Input'!$D:$D,0)),0)</f>
        <v>32355</v>
      </c>
      <c r="S70" s="80">
        <f>IFERROR(INDEX('Raw Data Input'!$S:$S,MATCH($D70,'Raw Data Input'!$D:$D,0)),0)</f>
        <v>446030</v>
      </c>
      <c r="T70" s="80">
        <f>IFERROR(INDEX('Raw Data Input'!$T:$T,MATCH($D70,'Raw Data Input'!$D:$D,0)),0)</f>
        <v>4499662</v>
      </c>
      <c r="U70" s="80">
        <f>IFERROR(INDEX('Raw Data Input'!$F:$F,MATCH($E70,'Raw Data Input'!$D:$D,0)),0)</f>
        <v>3427267</v>
      </c>
      <c r="V70" s="80">
        <f>IFERROR(INDEX('Raw Data Input'!$G:$G,MATCH($E70,'Raw Data Input'!$D:$D,0)),0)</f>
        <v>-2467859</v>
      </c>
      <c r="W70" s="80">
        <f>IFERROR(INDEX('Raw Data Input'!$H:$H,MATCH($E70,'Raw Data Input'!$D:$D,0)),0)</f>
        <v>544645</v>
      </c>
      <c r="X70" s="80">
        <f>IFERROR(INDEX('Raw Data Input'!$I:$I,MATCH($E70,'Raw Data Input'!$D:$D,0)),0)</f>
        <v>3480101</v>
      </c>
      <c r="Y70" s="80">
        <f>IFERROR(INDEX('Raw Data Input'!$J:$J,MATCH($E70,'Raw Data Input'!$D:$D,0)),0)</f>
        <v>1211838</v>
      </c>
      <c r="Z70" s="80">
        <f>IFERROR(INDEX('Raw Data Input'!$K:$K,MATCH($E70,'Raw Data Input'!$D:$D,0)),0)</f>
        <v>0</v>
      </c>
      <c r="AA70" s="80">
        <f>IFERROR(INDEX('Raw Data Input'!$L:$L,MATCH($E70,'Raw Data Input'!$D:$D,0)),0)</f>
        <v>5032050</v>
      </c>
      <c r="AB70" s="80">
        <f>IFERROR(INDEX('Raw Data Input'!$M:$M,MATCH($E70,'Raw Data Input'!$D:$D,0)),0)</f>
        <v>-824902</v>
      </c>
      <c r="AC70" s="80">
        <f>IFERROR(INDEX('Raw Data Input'!$N:$N,MATCH($E70,'Raw Data Input'!$D:$D,0)),0)</f>
        <v>149839</v>
      </c>
      <c r="AD70" s="80">
        <f>IFERROR(INDEX('Raw Data Input'!$O:$O,MATCH($E70,'Raw Data Input'!$D:$D,0)),0)</f>
        <v>281954</v>
      </c>
      <c r="AE70" s="80">
        <f>IFERROR(INDEX('Raw Data Input'!$P:$P,MATCH($E70,'Raw Data Input'!$D:$D,0)),0)</f>
        <v>-162374</v>
      </c>
      <c r="AF70" s="80">
        <f>IFERROR(INDEX('Raw Data Input'!$Q:$Q,MATCH($E70,'Raw Data Input'!$D:$D,0)),0)</f>
        <v>843987</v>
      </c>
      <c r="AG70" s="80">
        <f>IFERROR(INDEX('Raw Data Input'!$R:$R,MATCH($E70,'Raw Data Input'!$D:$D,0)),0)</f>
        <v>34305</v>
      </c>
      <c r="AH70" s="80">
        <f>IFERROR(INDEX('Raw Data Input'!$S:$S,MATCH($E70,'Raw Data Input'!$D:$D,0)),0)</f>
        <v>878292</v>
      </c>
      <c r="AI70" s="80">
        <f>IFERROR(INDEX('Raw Data Input'!$T:$T,MATCH($E70,'Raw Data Input'!$D:$D,0)),0)</f>
        <v>4153758</v>
      </c>
    </row>
    <row r="71" spans="1:35" ht="15" customHeight="1" x14ac:dyDescent="0.3">
      <c r="A71" s="27" t="s">
        <v>49</v>
      </c>
      <c r="B71" s="27" t="s">
        <v>50</v>
      </c>
      <c r="C71" s="28">
        <v>2020</v>
      </c>
      <c r="D71" s="29" t="str">
        <f t="shared" si="4"/>
        <v>HORDS-2020</v>
      </c>
      <c r="E71" s="29" t="str">
        <f t="shared" si="5"/>
        <v>HORDS-2019</v>
      </c>
      <c r="F71" s="30">
        <f>IFERROR(INDEX('Raw Data Input'!$F:$F,MATCH($D71,'Raw Data Input'!$D:$D,0)),0)</f>
        <v>2917302</v>
      </c>
      <c r="G71" s="30">
        <f>IFERROR(INDEX('Raw Data Input'!$G:$G,MATCH($D71,'Raw Data Input'!$D:$D,0)),0)</f>
        <v>-1930204</v>
      </c>
      <c r="H71" s="30">
        <f>IFERROR(INDEX('Raw Data Input'!$H:$H,MATCH($D71,'Raw Data Input'!$D:$D,0)),0)</f>
        <v>193336</v>
      </c>
      <c r="I71" s="30">
        <f>IFERROR(INDEX('Raw Data Input'!$I:$I,MATCH($D71,'Raw Data Input'!$D:$D,0)),0)</f>
        <v>3487233</v>
      </c>
      <c r="J71" s="30">
        <f>IFERROR(INDEX('Raw Data Input'!$J:$J,MATCH($D71,'Raw Data Input'!$D:$D,0)),0)</f>
        <v>1108521</v>
      </c>
      <c r="K71" s="30">
        <f>IFERROR(INDEX('Raw Data Input'!$K:$K,MATCH($D71,'Raw Data Input'!$D:$D,0)),0)</f>
        <v>0</v>
      </c>
      <c r="L71" s="30">
        <f>IFERROR(INDEX('Raw Data Input'!$L:$L,MATCH($D71,'Raw Data Input'!$D:$D,0)),0)</f>
        <v>4831967</v>
      </c>
      <c r="M71" s="30">
        <f>IFERROR(INDEX('Raw Data Input'!$M:$M,MATCH($D71,'Raw Data Input'!$D:$D,0)),0)</f>
        <v>-786760</v>
      </c>
      <c r="N71" s="30">
        <f>IFERROR(INDEX('Raw Data Input'!$N:$N,MATCH($D71,'Raw Data Input'!$D:$D,0)),0)</f>
        <v>133153</v>
      </c>
      <c r="O71" s="30">
        <f>IFERROR(INDEX('Raw Data Input'!$O:$O,MATCH($D71,'Raw Data Input'!$D:$D,0)),0)</f>
        <v>169297</v>
      </c>
      <c r="P71" s="30">
        <f>IFERROR(INDEX('Raw Data Input'!$P:$P,MATCH($D71,'Raw Data Input'!$D:$D,0)),0)</f>
        <v>-6200</v>
      </c>
      <c r="Q71" s="30">
        <f>IFERROR(INDEX('Raw Data Input'!$Q:$Q,MATCH($D71,'Raw Data Input'!$D:$D,0)),0)</f>
        <v>130653</v>
      </c>
      <c r="R71" s="30">
        <f>IFERROR(INDEX('Raw Data Input'!$R:$R,MATCH($D71,'Raw Data Input'!$D:$D,0)),0)</f>
        <v>32355</v>
      </c>
      <c r="S71" s="30">
        <f>IFERROR(INDEX('Raw Data Input'!$S:$S,MATCH($D71,'Raw Data Input'!$D:$D,0)),0)</f>
        <v>163008</v>
      </c>
      <c r="T71" s="30">
        <f>IFERROR(INDEX('Raw Data Input'!$T:$T,MATCH($D71,'Raw Data Input'!$D:$D,0)),0)</f>
        <v>4668959</v>
      </c>
      <c r="U71" s="30">
        <f>IFERROR(INDEX('Raw Data Input'!$F:$F,MATCH($E71,'Raw Data Input'!$D:$D,0)),0)</f>
        <v>3124425</v>
      </c>
      <c r="V71" s="30">
        <f>IFERROR(INDEX('Raw Data Input'!$G:$G,MATCH($E71,'Raw Data Input'!$D:$D,0)),0)</f>
        <v>-2041136</v>
      </c>
      <c r="W71" s="30">
        <f>IFERROR(INDEX('Raw Data Input'!$H:$H,MATCH($E71,'Raw Data Input'!$D:$D,0)),0)</f>
        <v>332922</v>
      </c>
      <c r="X71" s="30">
        <f>IFERROR(INDEX('Raw Data Input'!$I:$I,MATCH($E71,'Raw Data Input'!$D:$D,0)),0)</f>
        <v>3517580</v>
      </c>
      <c r="Y71" s="30">
        <f>IFERROR(INDEX('Raw Data Input'!$J:$J,MATCH($E71,'Raw Data Input'!$D:$D,0)),0)</f>
        <v>1130047</v>
      </c>
      <c r="Z71" s="30">
        <f>IFERROR(INDEX('Raw Data Input'!$K:$K,MATCH($E71,'Raw Data Input'!$D:$D,0)),0)</f>
        <v>0</v>
      </c>
      <c r="AA71" s="30">
        <f>IFERROR(INDEX('Raw Data Input'!$L:$L,MATCH($E71,'Raw Data Input'!$D:$D,0)),0)</f>
        <v>4945692</v>
      </c>
      <c r="AB71" s="30">
        <f>IFERROR(INDEX('Raw Data Input'!$M:$M,MATCH($E71,'Raw Data Input'!$D:$D,0)),0)</f>
        <v>-762949</v>
      </c>
      <c r="AC71" s="30">
        <f>IFERROR(INDEX('Raw Data Input'!$N:$N,MATCH($E71,'Raw Data Input'!$D:$D,0)),0)</f>
        <v>141037</v>
      </c>
      <c r="AD71" s="30">
        <f>IFERROR(INDEX('Raw Data Input'!$O:$O,MATCH($E71,'Raw Data Input'!$D:$D,0)),0)</f>
        <v>345904</v>
      </c>
      <c r="AE71" s="30">
        <f>IFERROR(INDEX('Raw Data Input'!$P:$P,MATCH($E71,'Raw Data Input'!$D:$D,0)),0)</f>
        <v>86439</v>
      </c>
      <c r="AF71" s="30">
        <f>IFERROR(INDEX('Raw Data Input'!$Q:$Q,MATCH($E71,'Raw Data Input'!$D:$D,0)),0)</f>
        <v>413675</v>
      </c>
      <c r="AG71" s="30">
        <f>IFERROR(INDEX('Raw Data Input'!$R:$R,MATCH($E71,'Raw Data Input'!$D:$D,0)),0)</f>
        <v>32355</v>
      </c>
      <c r="AH71" s="30">
        <f>IFERROR(INDEX('Raw Data Input'!$S:$S,MATCH($E71,'Raw Data Input'!$D:$D,0)),0)</f>
        <v>446030</v>
      </c>
      <c r="AI71" s="30">
        <f>IFERROR(INDEX('Raw Data Input'!$T:$T,MATCH($E71,'Raw Data Input'!$D:$D,0)),0)</f>
        <v>4499662</v>
      </c>
    </row>
    <row r="72" spans="1:35" ht="15" customHeight="1" x14ac:dyDescent="0.3">
      <c r="A72" s="27" t="s">
        <v>49</v>
      </c>
      <c r="B72" s="27" t="s">
        <v>50</v>
      </c>
      <c r="C72" s="28">
        <v>2021</v>
      </c>
      <c r="D72" s="29" t="str">
        <f t="shared" si="4"/>
        <v>HORDS-2021</v>
      </c>
      <c r="E72" s="29" t="str">
        <f t="shared" si="5"/>
        <v>HORDS-2020</v>
      </c>
      <c r="F72" s="30">
        <f>IFERROR(INDEX('Raw Data Input'!$F:$F,MATCH($D72,'Raw Data Input'!$D:$D,0)),0)</f>
        <v>5505389</v>
      </c>
      <c r="G72" s="30">
        <f>IFERROR(INDEX('Raw Data Input'!$G:$G,MATCH($D72,'Raw Data Input'!$D:$D,0)),0)</f>
        <v>-4461286</v>
      </c>
      <c r="H72" s="30">
        <f>IFERROR(INDEX('Raw Data Input'!$H:$H,MATCH($D72,'Raw Data Input'!$D:$D,0)),0)</f>
        <v>168505</v>
      </c>
      <c r="I72" s="30">
        <f>IFERROR(INDEX('Raw Data Input'!$I:$I,MATCH($D72,'Raw Data Input'!$D:$D,0)),0)</f>
        <v>2069390</v>
      </c>
      <c r="J72" s="30">
        <f>IFERROR(INDEX('Raw Data Input'!$J:$J,MATCH($D72,'Raw Data Input'!$D:$D,0)),0)</f>
        <v>1083012</v>
      </c>
      <c r="K72" s="30">
        <f>IFERROR(INDEX('Raw Data Input'!$K:$K,MATCH($D72,'Raw Data Input'!$D:$D,0)),0)</f>
        <v>0</v>
      </c>
      <c r="L72" s="30">
        <f>IFERROR(INDEX('Raw Data Input'!$L:$L,MATCH($D72,'Raw Data Input'!$D:$D,0)),0)</f>
        <v>3485640</v>
      </c>
      <c r="M72" s="30">
        <f>IFERROR(INDEX('Raw Data Input'!$M:$M,MATCH($D72,'Raw Data Input'!$D:$D,0)),0)</f>
        <v>-971857</v>
      </c>
      <c r="N72" s="30">
        <f>IFERROR(INDEX('Raw Data Input'!$N:$N,MATCH($D72,'Raw Data Input'!$D:$D,0)),0)</f>
        <v>87360</v>
      </c>
      <c r="O72" s="30">
        <f>IFERROR(INDEX('Raw Data Input'!$O:$O,MATCH($D72,'Raw Data Input'!$D:$D,0)),0)</f>
        <v>-1466688</v>
      </c>
      <c r="P72" s="30">
        <f>IFERROR(INDEX('Raw Data Input'!$P:$P,MATCH($D72,'Raw Data Input'!$D:$D,0)),0)</f>
        <v>241784</v>
      </c>
      <c r="Q72" s="30">
        <f>IFERROR(INDEX('Raw Data Input'!$Q:$Q,MATCH($D72,'Raw Data Input'!$D:$D,0)),0)</f>
        <v>435484</v>
      </c>
      <c r="R72" s="30">
        <f>IFERROR(INDEX('Raw Data Input'!$R:$R,MATCH($D72,'Raw Data Input'!$D:$D,0)),0)</f>
        <v>32355</v>
      </c>
      <c r="S72" s="30">
        <f>IFERROR(INDEX('Raw Data Input'!$S:$S,MATCH($D72,'Raw Data Input'!$D:$D,0)),0)</f>
        <v>467839</v>
      </c>
      <c r="T72" s="30">
        <f>IFERROR(INDEX('Raw Data Input'!$T:$T,MATCH($D72,'Raw Data Input'!$D:$D,0)),0)</f>
        <v>3017801</v>
      </c>
      <c r="U72" s="30">
        <f>IFERROR(INDEX('Raw Data Input'!$F:$F,MATCH($E72,'Raw Data Input'!$D:$D,0)),0)</f>
        <v>2917302</v>
      </c>
      <c r="V72" s="30">
        <f>IFERROR(INDEX('Raw Data Input'!$G:$G,MATCH($E72,'Raw Data Input'!$D:$D,0)),0)</f>
        <v>-1930204</v>
      </c>
      <c r="W72" s="30">
        <f>IFERROR(INDEX('Raw Data Input'!$H:$H,MATCH($E72,'Raw Data Input'!$D:$D,0)),0)</f>
        <v>193336</v>
      </c>
      <c r="X72" s="30">
        <f>IFERROR(INDEX('Raw Data Input'!$I:$I,MATCH($E72,'Raw Data Input'!$D:$D,0)),0)</f>
        <v>3487233</v>
      </c>
      <c r="Y72" s="30">
        <f>IFERROR(INDEX('Raw Data Input'!$J:$J,MATCH($E72,'Raw Data Input'!$D:$D,0)),0)</f>
        <v>1108521</v>
      </c>
      <c r="Z72" s="30">
        <f>IFERROR(INDEX('Raw Data Input'!$K:$K,MATCH($E72,'Raw Data Input'!$D:$D,0)),0)</f>
        <v>0</v>
      </c>
      <c r="AA72" s="30">
        <f>IFERROR(INDEX('Raw Data Input'!$L:$L,MATCH($E72,'Raw Data Input'!$D:$D,0)),0)</f>
        <v>4831967</v>
      </c>
      <c r="AB72" s="30">
        <f>IFERROR(INDEX('Raw Data Input'!$M:$M,MATCH($E72,'Raw Data Input'!$D:$D,0)),0)</f>
        <v>-786760</v>
      </c>
      <c r="AC72" s="30">
        <f>IFERROR(INDEX('Raw Data Input'!$N:$N,MATCH($E72,'Raw Data Input'!$D:$D,0)),0)</f>
        <v>133153</v>
      </c>
      <c r="AD72" s="30">
        <f>IFERROR(INDEX('Raw Data Input'!$O:$O,MATCH($E72,'Raw Data Input'!$D:$D,0)),0)</f>
        <v>169297</v>
      </c>
      <c r="AE72" s="30">
        <f>IFERROR(INDEX('Raw Data Input'!$P:$P,MATCH($E72,'Raw Data Input'!$D:$D,0)),0)</f>
        <v>-6200</v>
      </c>
      <c r="AF72" s="30">
        <f>IFERROR(INDEX('Raw Data Input'!$Q:$Q,MATCH($E72,'Raw Data Input'!$D:$D,0)),0)</f>
        <v>130653</v>
      </c>
      <c r="AG72" s="30">
        <f>IFERROR(INDEX('Raw Data Input'!$R:$R,MATCH($E72,'Raw Data Input'!$D:$D,0)),0)</f>
        <v>32355</v>
      </c>
      <c r="AH72" s="30">
        <f>IFERROR(INDEX('Raw Data Input'!$S:$S,MATCH($E72,'Raw Data Input'!$D:$D,0)),0)</f>
        <v>163008</v>
      </c>
      <c r="AI72" s="30">
        <f>IFERROR(INDEX('Raw Data Input'!$T:$T,MATCH($E72,'Raw Data Input'!$D:$D,0)),0)</f>
        <v>4668959</v>
      </c>
    </row>
    <row r="73" spans="1:35" ht="15" customHeight="1" x14ac:dyDescent="0.3">
      <c r="A73" s="27" t="s">
        <v>49</v>
      </c>
      <c r="B73" s="27" t="s">
        <v>50</v>
      </c>
      <c r="C73" s="28">
        <v>2022</v>
      </c>
      <c r="D73" s="29" t="str">
        <f t="shared" si="4"/>
        <v>HORDS-2022</v>
      </c>
      <c r="E73" s="29" t="str">
        <f t="shared" si="5"/>
        <v>HORDS-2021</v>
      </c>
      <c r="F73" s="30">
        <f>IFERROR(INDEX('Raw Data Input'!$F:$F,MATCH($D73,'Raw Data Input'!$D:$D,0)),0)</f>
        <v>5412722</v>
      </c>
      <c r="G73" s="30">
        <f>IFERROR(INDEX('Raw Data Input'!$G:$G,MATCH($D73,'Raw Data Input'!$D:$D,0)),0)</f>
        <v>-4666982</v>
      </c>
      <c r="H73" s="30">
        <f>IFERROR(INDEX('Raw Data Input'!$H:$H,MATCH($D73,'Raw Data Input'!$D:$D,0)),0)</f>
        <v>115932</v>
      </c>
      <c r="I73" s="30">
        <f>IFERROR(INDEX('Raw Data Input'!$I:$I,MATCH($D73,'Raw Data Input'!$D:$D,0)),0)</f>
        <v>1719675</v>
      </c>
      <c r="J73" s="30">
        <f>IFERROR(INDEX('Raw Data Input'!$J:$J,MATCH($D73,'Raw Data Input'!$D:$D,0)),0)</f>
        <v>1057373</v>
      </c>
      <c r="K73" s="30">
        <f>IFERROR(INDEX('Raw Data Input'!$K:$K,MATCH($D73,'Raw Data Input'!$D:$D,0)),0)</f>
        <v>0</v>
      </c>
      <c r="L73" s="30">
        <f>IFERROR(INDEX('Raw Data Input'!$L:$L,MATCH($D73,'Raw Data Input'!$D:$D,0)),0)</f>
        <v>3181400</v>
      </c>
      <c r="M73" s="30">
        <f>IFERROR(INDEX('Raw Data Input'!$M:$M,MATCH($D73,'Raw Data Input'!$D:$D,0)),0)</f>
        <v>-1022688</v>
      </c>
      <c r="N73" s="30">
        <f>IFERROR(INDEX('Raw Data Input'!$N:$N,MATCH($D73,'Raw Data Input'!$D:$D,0)),0)</f>
        <v>86498</v>
      </c>
      <c r="O73" s="30">
        <f>IFERROR(INDEX('Raw Data Input'!$O:$O,MATCH($D73,'Raw Data Input'!$D:$D,0)),0)</f>
        <v>-120874</v>
      </c>
      <c r="P73" s="30">
        <f>IFERROR(INDEX('Raw Data Input'!$P:$P,MATCH($D73,'Raw Data Input'!$D:$D,0)),0)</f>
        <v>269348</v>
      </c>
      <c r="Q73" s="30">
        <f>IFERROR(INDEX('Raw Data Input'!$Q:$Q,MATCH($D73,'Raw Data Input'!$D:$D,0)),0)</f>
        <v>267660</v>
      </c>
      <c r="R73" s="30">
        <f>IFERROR(INDEX('Raw Data Input'!$R:$R,MATCH($D73,'Raw Data Input'!$D:$D,0)),0)</f>
        <v>32355</v>
      </c>
      <c r="S73" s="30">
        <f>IFERROR(INDEX('Raw Data Input'!$S:$S,MATCH($D73,'Raw Data Input'!$D:$D,0)),0)</f>
        <v>300015</v>
      </c>
      <c r="T73" s="30">
        <f>IFERROR(INDEX('Raw Data Input'!$T:$T,MATCH($D73,'Raw Data Input'!$D:$D,0)),0)</f>
        <v>2881385</v>
      </c>
      <c r="U73" s="30">
        <f>IFERROR(INDEX('Raw Data Input'!$F:$F,MATCH($E73,'Raw Data Input'!$D:$D,0)),0)</f>
        <v>5505389</v>
      </c>
      <c r="V73" s="30">
        <f>IFERROR(INDEX('Raw Data Input'!$G:$G,MATCH($E73,'Raw Data Input'!$D:$D,0)),0)</f>
        <v>-4461286</v>
      </c>
      <c r="W73" s="30">
        <f>IFERROR(INDEX('Raw Data Input'!$H:$H,MATCH($E73,'Raw Data Input'!$D:$D,0)),0)</f>
        <v>168505</v>
      </c>
      <c r="X73" s="30">
        <f>IFERROR(INDEX('Raw Data Input'!$I:$I,MATCH($E73,'Raw Data Input'!$D:$D,0)),0)</f>
        <v>2069390</v>
      </c>
      <c r="Y73" s="30">
        <f>IFERROR(INDEX('Raw Data Input'!$J:$J,MATCH($E73,'Raw Data Input'!$D:$D,0)),0)</f>
        <v>1083012</v>
      </c>
      <c r="Z73" s="30">
        <f>IFERROR(INDEX('Raw Data Input'!$K:$K,MATCH($E73,'Raw Data Input'!$D:$D,0)),0)</f>
        <v>0</v>
      </c>
      <c r="AA73" s="30">
        <f>IFERROR(INDEX('Raw Data Input'!$L:$L,MATCH($E73,'Raw Data Input'!$D:$D,0)),0)</f>
        <v>3485640</v>
      </c>
      <c r="AB73" s="30">
        <f>IFERROR(INDEX('Raw Data Input'!$M:$M,MATCH($E73,'Raw Data Input'!$D:$D,0)),0)</f>
        <v>-971857</v>
      </c>
      <c r="AC73" s="30">
        <f>IFERROR(INDEX('Raw Data Input'!$N:$N,MATCH($E73,'Raw Data Input'!$D:$D,0)),0)</f>
        <v>87360</v>
      </c>
      <c r="AD73" s="30">
        <f>IFERROR(INDEX('Raw Data Input'!$O:$O,MATCH($E73,'Raw Data Input'!$D:$D,0)),0)</f>
        <v>-1466688</v>
      </c>
      <c r="AE73" s="30">
        <f>IFERROR(INDEX('Raw Data Input'!$P:$P,MATCH($E73,'Raw Data Input'!$D:$D,0)),0)</f>
        <v>241784</v>
      </c>
      <c r="AF73" s="30">
        <f>IFERROR(INDEX('Raw Data Input'!$Q:$Q,MATCH($E73,'Raw Data Input'!$D:$D,0)),0)</f>
        <v>435484</v>
      </c>
      <c r="AG73" s="30">
        <f>IFERROR(INDEX('Raw Data Input'!$R:$R,MATCH($E73,'Raw Data Input'!$D:$D,0)),0)</f>
        <v>32355</v>
      </c>
      <c r="AH73" s="30">
        <f>IFERROR(INDEX('Raw Data Input'!$S:$S,MATCH($E73,'Raw Data Input'!$D:$D,0)),0)</f>
        <v>467839</v>
      </c>
      <c r="AI73" s="30">
        <f>IFERROR(INDEX('Raw Data Input'!$T:$T,MATCH($E73,'Raw Data Input'!$D:$D,0)),0)</f>
        <v>3017801</v>
      </c>
    </row>
    <row r="74" spans="1:35" ht="15" customHeight="1" thickBot="1" x14ac:dyDescent="0.35">
      <c r="A74" s="81" t="s">
        <v>49</v>
      </c>
      <c r="B74" s="81" t="s">
        <v>50</v>
      </c>
      <c r="C74" s="82">
        <v>2023</v>
      </c>
      <c r="D74" s="83" t="str">
        <f t="shared" si="4"/>
        <v>HORDS-2023</v>
      </c>
      <c r="E74" s="83" t="str">
        <f t="shared" si="5"/>
        <v>HORDS-2022</v>
      </c>
      <c r="F74" s="84">
        <f>IFERROR(INDEX('Raw Data Input'!$F:$F,MATCH($D74,'Raw Data Input'!$D:$D,0)),0)</f>
        <v>265348</v>
      </c>
      <c r="G74" s="84">
        <f>IFERROR(INDEX('Raw Data Input'!$G:$G,MATCH($D74,'Raw Data Input'!$D:$D,0)),0)</f>
        <v>-148538</v>
      </c>
      <c r="H74" s="84">
        <f>IFERROR(INDEX('Raw Data Input'!$H:$H,MATCH($D74,'Raw Data Input'!$D:$D,0)),0)</f>
        <v>0</v>
      </c>
      <c r="I74" s="84">
        <f>IFERROR(INDEX('Raw Data Input'!$I:$I,MATCH($D74,'Raw Data Input'!$D:$D,0)),0)</f>
        <v>1476502</v>
      </c>
      <c r="J74" s="84">
        <f>IFERROR(INDEX('Raw Data Input'!$J:$J,MATCH($D74,'Raw Data Input'!$D:$D,0)),0)</f>
        <v>1031734</v>
      </c>
      <c r="K74" s="84">
        <f>IFERROR(INDEX('Raw Data Input'!$K:$K,MATCH($D74,'Raw Data Input'!$D:$D,0)),0)</f>
        <v>0</v>
      </c>
      <c r="L74" s="84">
        <f>IFERROR(INDEX('Raw Data Input'!$L:$L,MATCH($D74,'Raw Data Input'!$D:$D,0)),0)</f>
        <v>2885105</v>
      </c>
      <c r="M74" s="84">
        <f>IFERROR(INDEX('Raw Data Input'!$M:$M,MATCH($D74,'Raw Data Input'!$D:$D,0)),0)</f>
        <v>-260497</v>
      </c>
      <c r="N74" s="84">
        <f>IFERROR(INDEX('Raw Data Input'!$N:$N,MATCH($D74,'Raw Data Input'!$D:$D,0)),0)</f>
        <v>86628</v>
      </c>
      <c r="O74" s="84">
        <f>IFERROR(INDEX('Raw Data Input'!$O:$O,MATCH($D74,'Raw Data Input'!$D:$D,0)),0)</f>
        <v>-46920</v>
      </c>
      <c r="P74" s="84">
        <f>IFERROR(INDEX('Raw Data Input'!$P:$P,MATCH($D74,'Raw Data Input'!$D:$D,0)),0)</f>
        <v>-27388</v>
      </c>
      <c r="Q74" s="84">
        <f>IFERROR(INDEX('Raw Data Input'!$Q:$Q,MATCH($D74,'Raw Data Input'!$D:$D,0)),0)</f>
        <v>18285</v>
      </c>
      <c r="R74" s="84">
        <f>IFERROR(INDEX('Raw Data Input'!$R:$R,MATCH($D74,'Raw Data Input'!$D:$D,0)),0)</f>
        <v>32355</v>
      </c>
      <c r="S74" s="84">
        <f>IFERROR(INDEX('Raw Data Input'!$S:$S,MATCH($D74,'Raw Data Input'!$D:$D,0)),0)</f>
        <v>50640</v>
      </c>
      <c r="T74" s="84">
        <f>IFERROR(INDEX('Raw Data Input'!$T:$T,MATCH($D74,'Raw Data Input'!$D:$D,0)),0)</f>
        <v>2834465</v>
      </c>
      <c r="U74" s="84">
        <f>IFERROR(INDEX('Raw Data Input'!$F:$F,MATCH($E74,'Raw Data Input'!$D:$D,0)),0)</f>
        <v>5412722</v>
      </c>
      <c r="V74" s="84">
        <f>IFERROR(INDEX('Raw Data Input'!$G:$G,MATCH($E74,'Raw Data Input'!$D:$D,0)),0)</f>
        <v>-4666982</v>
      </c>
      <c r="W74" s="84">
        <f>IFERROR(INDEX('Raw Data Input'!$H:$H,MATCH($E74,'Raw Data Input'!$D:$D,0)),0)</f>
        <v>115932</v>
      </c>
      <c r="X74" s="84">
        <f>IFERROR(INDEX('Raw Data Input'!$I:$I,MATCH($E74,'Raw Data Input'!$D:$D,0)),0)</f>
        <v>1719675</v>
      </c>
      <c r="Y74" s="84">
        <f>IFERROR(INDEX('Raw Data Input'!$J:$J,MATCH($E74,'Raw Data Input'!$D:$D,0)),0)</f>
        <v>1057373</v>
      </c>
      <c r="Z74" s="84">
        <f>IFERROR(INDEX('Raw Data Input'!$K:$K,MATCH($E74,'Raw Data Input'!$D:$D,0)),0)</f>
        <v>0</v>
      </c>
      <c r="AA74" s="84">
        <f>IFERROR(INDEX('Raw Data Input'!$L:$L,MATCH($E74,'Raw Data Input'!$D:$D,0)),0)</f>
        <v>3181400</v>
      </c>
      <c r="AB74" s="84">
        <f>IFERROR(INDEX('Raw Data Input'!$M:$M,MATCH($E74,'Raw Data Input'!$D:$D,0)),0)</f>
        <v>-1022688</v>
      </c>
      <c r="AC74" s="84">
        <f>IFERROR(INDEX('Raw Data Input'!$N:$N,MATCH($E74,'Raw Data Input'!$D:$D,0)),0)</f>
        <v>86498</v>
      </c>
      <c r="AD74" s="84">
        <f>IFERROR(INDEX('Raw Data Input'!$O:$O,MATCH($E74,'Raw Data Input'!$D:$D,0)),0)</f>
        <v>-120874</v>
      </c>
      <c r="AE74" s="84">
        <f>IFERROR(INDEX('Raw Data Input'!$P:$P,MATCH($E74,'Raw Data Input'!$D:$D,0)),0)</f>
        <v>269348</v>
      </c>
      <c r="AF74" s="84">
        <f>IFERROR(INDEX('Raw Data Input'!$Q:$Q,MATCH($E74,'Raw Data Input'!$D:$D,0)),0)</f>
        <v>267660</v>
      </c>
      <c r="AG74" s="84">
        <f>IFERROR(INDEX('Raw Data Input'!$R:$R,MATCH($E74,'Raw Data Input'!$D:$D,0)),0)</f>
        <v>32355</v>
      </c>
      <c r="AH74" s="84">
        <f>IFERROR(INDEX('Raw Data Input'!$S:$S,MATCH($E74,'Raw Data Input'!$D:$D,0)),0)</f>
        <v>300015</v>
      </c>
      <c r="AI74" s="84">
        <f>IFERROR(INDEX('Raw Data Input'!$T:$T,MATCH($E74,'Raw Data Input'!$D:$D,0)),0)</f>
        <v>2881385</v>
      </c>
    </row>
    <row r="75" spans="1:35" ht="15" customHeight="1" x14ac:dyDescent="0.3">
      <c r="A75" s="85" t="s">
        <v>51</v>
      </c>
      <c r="B75" s="85" t="s">
        <v>52</v>
      </c>
      <c r="C75" s="86">
        <v>2019</v>
      </c>
      <c r="D75" s="87" t="str">
        <f t="shared" si="4"/>
        <v>IIL-2019</v>
      </c>
      <c r="E75" s="87" t="str">
        <f t="shared" si="5"/>
        <v>IIL-2018</v>
      </c>
      <c r="F75" s="88">
        <f>IFERROR(INDEX('Raw Data Input'!$F:$F,MATCH($D75,'Raw Data Input'!$D:$D,0)),0)</f>
        <v>23085380</v>
      </c>
      <c r="G75" s="88">
        <f>IFERROR(INDEX('Raw Data Input'!$G:$G,MATCH($D75,'Raw Data Input'!$D:$D,0)),0)</f>
        <v>-11399528</v>
      </c>
      <c r="H75" s="88">
        <f>IFERROR(INDEX('Raw Data Input'!$H:$H,MATCH($D75,'Raw Data Input'!$D:$D,0)),0)</f>
        <v>13754222</v>
      </c>
      <c r="I75" s="88">
        <f>IFERROR(INDEX('Raw Data Input'!$I:$I,MATCH($D75,'Raw Data Input'!$D:$D,0)),0)</f>
        <v>19827573</v>
      </c>
      <c r="J75" s="88">
        <f>IFERROR(INDEX('Raw Data Input'!$J:$J,MATCH($D75,'Raw Data Input'!$D:$D,0)),0)</f>
        <v>10571949</v>
      </c>
      <c r="K75" s="88">
        <f>IFERROR(INDEX('Raw Data Input'!$K:$K,MATCH($D75,'Raw Data Input'!$D:$D,0)),0)</f>
        <v>0</v>
      </c>
      <c r="L75" s="88">
        <f>IFERROR(INDEX('Raw Data Input'!$L:$L,MATCH($D75,'Raw Data Input'!$D:$D,0)),0)</f>
        <v>30470198</v>
      </c>
      <c r="M75" s="88">
        <f>IFERROR(INDEX('Raw Data Input'!$M:$M,MATCH($D75,'Raw Data Input'!$D:$D,0)),0)</f>
        <v>-8652016</v>
      </c>
      <c r="N75" s="88">
        <f>IFERROR(INDEX('Raw Data Input'!$N:$N,MATCH($D75,'Raw Data Input'!$D:$D,0)),0)</f>
        <v>-494990</v>
      </c>
      <c r="O75" s="88">
        <f>IFERROR(INDEX('Raw Data Input'!$O:$O,MATCH($D75,'Raw Data Input'!$D:$D,0)),0)</f>
        <v>1870608</v>
      </c>
      <c r="P75" s="88">
        <f>IFERROR(INDEX('Raw Data Input'!$P:$P,MATCH($D75,'Raw Data Input'!$D:$D,0)),0)</f>
        <v>499269</v>
      </c>
      <c r="Q75" s="88">
        <f>IFERROR(INDEX('Raw Data Input'!$Q:$Q,MATCH($D75,'Raw Data Input'!$D:$D,0)),0)</f>
        <v>7857292</v>
      </c>
      <c r="R75" s="88">
        <f>IFERROR(INDEX('Raw Data Input'!$R:$R,MATCH($D75,'Raw Data Input'!$D:$D,0)),0)</f>
        <v>4068435</v>
      </c>
      <c r="S75" s="88">
        <f>IFERROR(INDEX('Raw Data Input'!$S:$S,MATCH($D75,'Raw Data Input'!$D:$D,0)),0)</f>
        <v>12773629</v>
      </c>
      <c r="T75" s="88">
        <f>IFERROR(INDEX('Raw Data Input'!$T:$T,MATCH($D75,'Raw Data Input'!$D:$D,0)),0)</f>
        <v>17696569</v>
      </c>
      <c r="U75" s="88">
        <f>IFERROR(INDEX('Raw Data Input'!$F:$F,MATCH($E75,'Raw Data Input'!$D:$D,0)),0)</f>
        <v>20206689</v>
      </c>
      <c r="V75" s="88">
        <f>IFERROR(INDEX('Raw Data Input'!$G:$G,MATCH($E75,'Raw Data Input'!$D:$D,0)),0)</f>
        <v>-8299773</v>
      </c>
      <c r="W75" s="88">
        <f>IFERROR(INDEX('Raw Data Input'!$H:$H,MATCH($E75,'Raw Data Input'!$D:$D,0)),0)</f>
        <v>11724014</v>
      </c>
      <c r="X75" s="88">
        <f>IFERROR(INDEX('Raw Data Input'!$I:$I,MATCH($E75,'Raw Data Input'!$D:$D,0)),0)</f>
        <v>18738450</v>
      </c>
      <c r="Y75" s="88">
        <f>IFERROR(INDEX('Raw Data Input'!$J:$J,MATCH($E75,'Raw Data Input'!$D:$D,0)),0)</f>
        <v>7812086</v>
      </c>
      <c r="Z75" s="88">
        <f>IFERROR(INDEX('Raw Data Input'!$K:$K,MATCH($E75,'Raw Data Input'!$D:$D,0)),0)</f>
        <v>0</v>
      </c>
      <c r="AA75" s="88">
        <f>IFERROR(INDEX('Raw Data Input'!$L:$L,MATCH($E75,'Raw Data Input'!$D:$D,0)),0)</f>
        <v>26550536</v>
      </c>
      <c r="AB75" s="88">
        <f>IFERROR(INDEX('Raw Data Input'!$M:$M,MATCH($E75,'Raw Data Input'!$D:$D,0)),0)</f>
        <v>-7324349</v>
      </c>
      <c r="AC75" s="88">
        <f>IFERROR(INDEX('Raw Data Input'!$N:$N,MATCH($E75,'Raw Data Input'!$D:$D,0)),0)</f>
        <v>-574359</v>
      </c>
      <c r="AD75" s="88">
        <f>IFERROR(INDEX('Raw Data Input'!$O:$O,MATCH($E75,'Raw Data Input'!$D:$D,0)),0)</f>
        <v>2842612</v>
      </c>
      <c r="AE75" s="88">
        <f>IFERROR(INDEX('Raw Data Input'!$P:$P,MATCH($E75,'Raw Data Input'!$D:$D,0)),0)</f>
        <v>1389672</v>
      </c>
      <c r="AF75" s="88">
        <f>IFERROR(INDEX('Raw Data Input'!$Q:$Q,MATCH($E75,'Raw Data Input'!$D:$D,0)),0)</f>
        <v>11320063</v>
      </c>
      <c r="AG75" s="88">
        <f>IFERROR(INDEX('Raw Data Input'!$R:$R,MATCH($E75,'Raw Data Input'!$D:$D,0)),0)</f>
        <v>0</v>
      </c>
      <c r="AH75" s="88">
        <f>IFERROR(INDEX('Raw Data Input'!$S:$S,MATCH($E75,'Raw Data Input'!$D:$D,0)),0)</f>
        <v>12077488</v>
      </c>
      <c r="AI75" s="88">
        <f>IFERROR(INDEX('Raw Data Input'!$T:$T,MATCH($E75,'Raw Data Input'!$D:$D,0)),0)</f>
        <v>14473048</v>
      </c>
    </row>
    <row r="76" spans="1:35" ht="15" customHeight="1" x14ac:dyDescent="0.3">
      <c r="A76" s="27" t="s">
        <v>51</v>
      </c>
      <c r="B76" s="27" t="s">
        <v>52</v>
      </c>
      <c r="C76" s="28">
        <v>2020</v>
      </c>
      <c r="D76" s="29" t="str">
        <f t="shared" si="4"/>
        <v>IIL-2020</v>
      </c>
      <c r="E76" s="29" t="str">
        <f t="shared" si="5"/>
        <v>IIL-2019</v>
      </c>
      <c r="F76" s="30">
        <f>IFERROR(INDEX('Raw Data Input'!$F:$F,MATCH($D76,'Raw Data Input'!$D:$D,0)),0)</f>
        <v>20668656</v>
      </c>
      <c r="G76" s="30">
        <f>IFERROR(INDEX('Raw Data Input'!$G:$G,MATCH($D76,'Raw Data Input'!$D:$D,0)),0)</f>
        <v>-10485928</v>
      </c>
      <c r="H76" s="30">
        <f>IFERROR(INDEX('Raw Data Input'!$H:$H,MATCH($D76,'Raw Data Input'!$D:$D,0)),0)</f>
        <v>14307758</v>
      </c>
      <c r="I76" s="30">
        <f>IFERROR(INDEX('Raw Data Input'!$I:$I,MATCH($D76,'Raw Data Input'!$D:$D,0)),0)</f>
        <v>23477737</v>
      </c>
      <c r="J76" s="30">
        <f>IFERROR(INDEX('Raw Data Input'!$J:$J,MATCH($D76,'Raw Data Input'!$D:$D,0)),0)</f>
        <v>13789909</v>
      </c>
      <c r="K76" s="30">
        <f>IFERROR(INDEX('Raw Data Input'!$K:$K,MATCH($D76,'Raw Data Input'!$D:$D,0)),0)</f>
        <v>0</v>
      </c>
      <c r="L76" s="30">
        <f>IFERROR(INDEX('Raw Data Input'!$L:$L,MATCH($D76,'Raw Data Input'!$D:$D,0)),0)</f>
        <v>37331452</v>
      </c>
      <c r="M76" s="30">
        <f>IFERROR(INDEX('Raw Data Input'!$M:$M,MATCH($D76,'Raw Data Input'!$D:$D,0)),0)</f>
        <v>-7810452</v>
      </c>
      <c r="N76" s="30">
        <f>IFERROR(INDEX('Raw Data Input'!$N:$N,MATCH($D76,'Raw Data Input'!$D:$D,0)),0)</f>
        <v>-712211</v>
      </c>
      <c r="O76" s="30">
        <f>IFERROR(INDEX('Raw Data Input'!$O:$O,MATCH($D76,'Raw Data Input'!$D:$D,0)),0)</f>
        <v>1450855</v>
      </c>
      <c r="P76" s="30">
        <f>IFERROR(INDEX('Raw Data Input'!$P:$P,MATCH($D76,'Raw Data Input'!$D:$D,0)),0)</f>
        <v>-75304</v>
      </c>
      <c r="Q76" s="30">
        <f>IFERROR(INDEX('Raw Data Input'!$Q:$Q,MATCH($D76,'Raw Data Input'!$D:$D,0)),0)</f>
        <v>10872478</v>
      </c>
      <c r="R76" s="30">
        <f>IFERROR(INDEX('Raw Data Input'!$R:$R,MATCH($D76,'Raw Data Input'!$D:$D,0)),0)</f>
        <v>8060067</v>
      </c>
      <c r="S76" s="30">
        <f>IFERROR(INDEX('Raw Data Input'!$S:$S,MATCH($D76,'Raw Data Input'!$D:$D,0)),0)</f>
        <v>19391395</v>
      </c>
      <c r="T76" s="30">
        <f>IFERROR(INDEX('Raw Data Input'!$T:$T,MATCH($D76,'Raw Data Input'!$D:$D,0)),0)</f>
        <v>17940057</v>
      </c>
      <c r="U76" s="30">
        <f>IFERROR(INDEX('Raw Data Input'!$F:$F,MATCH($E76,'Raw Data Input'!$D:$D,0)),0)</f>
        <v>23085380</v>
      </c>
      <c r="V76" s="30">
        <f>IFERROR(INDEX('Raw Data Input'!$G:$G,MATCH($E76,'Raw Data Input'!$D:$D,0)),0)</f>
        <v>-11399528</v>
      </c>
      <c r="W76" s="30">
        <f>IFERROR(INDEX('Raw Data Input'!$H:$H,MATCH($E76,'Raw Data Input'!$D:$D,0)),0)</f>
        <v>13754222</v>
      </c>
      <c r="X76" s="30">
        <f>IFERROR(INDEX('Raw Data Input'!$I:$I,MATCH($E76,'Raw Data Input'!$D:$D,0)),0)</f>
        <v>19827573</v>
      </c>
      <c r="Y76" s="30">
        <f>IFERROR(INDEX('Raw Data Input'!$J:$J,MATCH($E76,'Raw Data Input'!$D:$D,0)),0)</f>
        <v>10571949</v>
      </c>
      <c r="Z76" s="30">
        <f>IFERROR(INDEX('Raw Data Input'!$K:$K,MATCH($E76,'Raw Data Input'!$D:$D,0)),0)</f>
        <v>0</v>
      </c>
      <c r="AA76" s="30">
        <f>IFERROR(INDEX('Raw Data Input'!$L:$L,MATCH($E76,'Raw Data Input'!$D:$D,0)),0)</f>
        <v>30470198</v>
      </c>
      <c r="AB76" s="30">
        <f>IFERROR(INDEX('Raw Data Input'!$M:$M,MATCH($E76,'Raw Data Input'!$D:$D,0)),0)</f>
        <v>-8652016</v>
      </c>
      <c r="AC76" s="30">
        <f>IFERROR(INDEX('Raw Data Input'!$N:$N,MATCH($E76,'Raw Data Input'!$D:$D,0)),0)</f>
        <v>-494990</v>
      </c>
      <c r="AD76" s="30">
        <f>IFERROR(INDEX('Raw Data Input'!$O:$O,MATCH($E76,'Raw Data Input'!$D:$D,0)),0)</f>
        <v>1870608</v>
      </c>
      <c r="AE76" s="30">
        <f>IFERROR(INDEX('Raw Data Input'!$P:$P,MATCH($E76,'Raw Data Input'!$D:$D,0)),0)</f>
        <v>499269</v>
      </c>
      <c r="AF76" s="30">
        <f>IFERROR(INDEX('Raw Data Input'!$Q:$Q,MATCH($E76,'Raw Data Input'!$D:$D,0)),0)</f>
        <v>7857292</v>
      </c>
      <c r="AG76" s="30">
        <f>IFERROR(INDEX('Raw Data Input'!$R:$R,MATCH($E76,'Raw Data Input'!$D:$D,0)),0)</f>
        <v>4068435</v>
      </c>
      <c r="AH76" s="30">
        <f>IFERROR(INDEX('Raw Data Input'!$S:$S,MATCH($E76,'Raw Data Input'!$D:$D,0)),0)</f>
        <v>12773629</v>
      </c>
      <c r="AI76" s="30">
        <f>IFERROR(INDEX('Raw Data Input'!$T:$T,MATCH($E76,'Raw Data Input'!$D:$D,0)),0)</f>
        <v>17696569</v>
      </c>
    </row>
    <row r="77" spans="1:35" ht="15" customHeight="1" x14ac:dyDescent="0.3">
      <c r="A77" s="27" t="s">
        <v>51</v>
      </c>
      <c r="B77" s="27" t="s">
        <v>52</v>
      </c>
      <c r="C77" s="28">
        <v>2021</v>
      </c>
      <c r="D77" s="29" t="str">
        <f t="shared" si="4"/>
        <v>IIL-2021</v>
      </c>
      <c r="E77" s="29" t="str">
        <f t="shared" si="5"/>
        <v>IIL-2020</v>
      </c>
      <c r="F77" s="30">
        <f>IFERROR(INDEX('Raw Data Input'!$F:$F,MATCH($D77,'Raw Data Input'!$D:$D,0)),0)</f>
        <v>22670720</v>
      </c>
      <c r="G77" s="30">
        <f>IFERROR(INDEX('Raw Data Input'!$G:$G,MATCH($D77,'Raw Data Input'!$D:$D,0)),0)</f>
        <v>-12037018</v>
      </c>
      <c r="H77" s="30">
        <f>IFERROR(INDEX('Raw Data Input'!$H:$H,MATCH($D77,'Raw Data Input'!$D:$D,0)),0)</f>
        <v>15961964</v>
      </c>
      <c r="I77" s="30">
        <f>IFERROR(INDEX('Raw Data Input'!$I:$I,MATCH($D77,'Raw Data Input'!$D:$D,0)),0)</f>
        <v>26079591</v>
      </c>
      <c r="J77" s="30">
        <f>IFERROR(INDEX('Raw Data Input'!$J:$J,MATCH($D77,'Raw Data Input'!$D:$D,0)),0)</f>
        <v>20411214</v>
      </c>
      <c r="K77" s="30">
        <f>IFERROR(INDEX('Raw Data Input'!$K:$K,MATCH($D77,'Raw Data Input'!$D:$D,0)),0)</f>
        <v>0</v>
      </c>
      <c r="L77" s="30">
        <f>IFERROR(INDEX('Raw Data Input'!$L:$L,MATCH($D77,'Raw Data Input'!$D:$D,0)),0)</f>
        <v>46546307</v>
      </c>
      <c r="M77" s="30">
        <f>IFERROR(INDEX('Raw Data Input'!$M:$M,MATCH($D77,'Raw Data Input'!$D:$D,0)),0)</f>
        <v>-8860506</v>
      </c>
      <c r="N77" s="30">
        <f>IFERROR(INDEX('Raw Data Input'!$N:$N,MATCH($D77,'Raw Data Input'!$D:$D,0)),0)</f>
        <v>-544942</v>
      </c>
      <c r="O77" s="30">
        <f>IFERROR(INDEX('Raw Data Input'!$O:$O,MATCH($D77,'Raw Data Input'!$D:$D,0)),0)</f>
        <v>1146349</v>
      </c>
      <c r="P77" s="30">
        <f>IFERROR(INDEX('Raw Data Input'!$P:$P,MATCH($D77,'Raw Data Input'!$D:$D,0)),0)</f>
        <v>3755042</v>
      </c>
      <c r="Q77" s="30">
        <f>IFERROR(INDEX('Raw Data Input'!$Q:$Q,MATCH($D77,'Raw Data Input'!$D:$D,0)),0)</f>
        <v>14002252</v>
      </c>
      <c r="R77" s="30">
        <f>IFERROR(INDEX('Raw Data Input'!$R:$R,MATCH($D77,'Raw Data Input'!$D:$D,0)),0)</f>
        <v>13807378</v>
      </c>
      <c r="S77" s="30">
        <f>IFERROR(INDEX('Raw Data Input'!$S:$S,MATCH($D77,'Raw Data Input'!$D:$D,0)),0)</f>
        <v>28258429</v>
      </c>
      <c r="T77" s="30">
        <f>IFERROR(INDEX('Raw Data Input'!$T:$T,MATCH($D77,'Raw Data Input'!$D:$D,0)),0)</f>
        <v>18287878</v>
      </c>
      <c r="U77" s="30">
        <f>IFERROR(INDEX('Raw Data Input'!$F:$F,MATCH($E77,'Raw Data Input'!$D:$D,0)),0)</f>
        <v>20668656</v>
      </c>
      <c r="V77" s="30">
        <f>IFERROR(INDEX('Raw Data Input'!$G:$G,MATCH($E77,'Raw Data Input'!$D:$D,0)),0)</f>
        <v>-10485928</v>
      </c>
      <c r="W77" s="30">
        <f>IFERROR(INDEX('Raw Data Input'!$H:$H,MATCH($E77,'Raw Data Input'!$D:$D,0)),0)</f>
        <v>14307758</v>
      </c>
      <c r="X77" s="30">
        <f>IFERROR(INDEX('Raw Data Input'!$I:$I,MATCH($E77,'Raw Data Input'!$D:$D,0)),0)</f>
        <v>23477737</v>
      </c>
      <c r="Y77" s="30">
        <f>IFERROR(INDEX('Raw Data Input'!$J:$J,MATCH($E77,'Raw Data Input'!$D:$D,0)),0)</f>
        <v>13789909</v>
      </c>
      <c r="Z77" s="30">
        <f>IFERROR(INDEX('Raw Data Input'!$K:$K,MATCH($E77,'Raw Data Input'!$D:$D,0)),0)</f>
        <v>0</v>
      </c>
      <c r="AA77" s="30">
        <f>IFERROR(INDEX('Raw Data Input'!$L:$L,MATCH($E77,'Raw Data Input'!$D:$D,0)),0)</f>
        <v>37331452</v>
      </c>
      <c r="AB77" s="30">
        <f>IFERROR(INDEX('Raw Data Input'!$M:$M,MATCH($E77,'Raw Data Input'!$D:$D,0)),0)</f>
        <v>-7810452</v>
      </c>
      <c r="AC77" s="30">
        <f>IFERROR(INDEX('Raw Data Input'!$N:$N,MATCH($E77,'Raw Data Input'!$D:$D,0)),0)</f>
        <v>-712211</v>
      </c>
      <c r="AD77" s="30">
        <f>IFERROR(INDEX('Raw Data Input'!$O:$O,MATCH($E77,'Raw Data Input'!$D:$D,0)),0)</f>
        <v>1450855</v>
      </c>
      <c r="AE77" s="30">
        <f>IFERROR(INDEX('Raw Data Input'!$P:$P,MATCH($E77,'Raw Data Input'!$D:$D,0)),0)</f>
        <v>-75304</v>
      </c>
      <c r="AF77" s="30">
        <f>IFERROR(INDEX('Raw Data Input'!$Q:$Q,MATCH($E77,'Raw Data Input'!$D:$D,0)),0)</f>
        <v>10872478</v>
      </c>
      <c r="AG77" s="30">
        <f>IFERROR(INDEX('Raw Data Input'!$R:$R,MATCH($E77,'Raw Data Input'!$D:$D,0)),0)</f>
        <v>8060067</v>
      </c>
      <c r="AH77" s="30">
        <f>IFERROR(INDEX('Raw Data Input'!$S:$S,MATCH($E77,'Raw Data Input'!$D:$D,0)),0)</f>
        <v>19391395</v>
      </c>
      <c r="AI77" s="30">
        <f>IFERROR(INDEX('Raw Data Input'!$T:$T,MATCH($E77,'Raw Data Input'!$D:$D,0)),0)</f>
        <v>17940057</v>
      </c>
    </row>
    <row r="78" spans="1:35" ht="15" customHeight="1" x14ac:dyDescent="0.3">
      <c r="A78" s="27" t="s">
        <v>51</v>
      </c>
      <c r="B78" s="27" t="s">
        <v>52</v>
      </c>
      <c r="C78" s="28">
        <v>2022</v>
      </c>
      <c r="D78" s="29" t="str">
        <f t="shared" si="4"/>
        <v>IIL-2022</v>
      </c>
      <c r="E78" s="29" t="str">
        <f t="shared" si="5"/>
        <v>IIL-2021</v>
      </c>
      <c r="F78" s="30">
        <f>IFERROR(INDEX('Raw Data Input'!$F:$F,MATCH($D78,'Raw Data Input'!$D:$D,0)),0)</f>
        <v>20355205</v>
      </c>
      <c r="G78" s="30">
        <f>IFERROR(INDEX('Raw Data Input'!$G:$G,MATCH($D78,'Raw Data Input'!$D:$D,0)),0)</f>
        <v>-11599227</v>
      </c>
      <c r="H78" s="30">
        <f>IFERROR(INDEX('Raw Data Input'!$H:$H,MATCH($D78,'Raw Data Input'!$D:$D,0)),0)</f>
        <v>15466780</v>
      </c>
      <c r="I78" s="30">
        <f>IFERROR(INDEX('Raw Data Input'!$I:$I,MATCH($D78,'Raw Data Input'!$D:$D,0)),0)</f>
        <v>24551875</v>
      </c>
      <c r="J78" s="30">
        <f>IFERROR(INDEX('Raw Data Input'!$J:$J,MATCH($D78,'Raw Data Input'!$D:$D,0)),0)</f>
        <v>22211072</v>
      </c>
      <c r="K78" s="30">
        <f>IFERROR(INDEX('Raw Data Input'!$K:$K,MATCH($D78,'Raw Data Input'!$D:$D,0)),0)</f>
        <v>0</v>
      </c>
      <c r="L78" s="30">
        <f>IFERROR(INDEX('Raw Data Input'!$L:$L,MATCH($D78,'Raw Data Input'!$D:$D,0)),0)</f>
        <v>46819104</v>
      </c>
      <c r="M78" s="30">
        <f>IFERROR(INDEX('Raw Data Input'!$M:$M,MATCH($D78,'Raw Data Input'!$D:$D,0)),0)</f>
        <v>-11393478</v>
      </c>
      <c r="N78" s="30">
        <f>IFERROR(INDEX('Raw Data Input'!$N:$N,MATCH($D78,'Raw Data Input'!$D:$D,0)),0)</f>
        <v>-569822</v>
      </c>
      <c r="O78" s="30">
        <f>IFERROR(INDEX('Raw Data Input'!$O:$O,MATCH($D78,'Raw Data Input'!$D:$D,0)),0)</f>
        <v>-3509155</v>
      </c>
      <c r="P78" s="30">
        <f>IFERROR(INDEX('Raw Data Input'!$P:$P,MATCH($D78,'Raw Data Input'!$D:$D,0)),0)</f>
        <v>2783558</v>
      </c>
      <c r="Q78" s="30">
        <f>IFERROR(INDEX('Raw Data Input'!$Q:$Q,MATCH($D78,'Raw Data Input'!$D:$D,0)),0)</f>
        <v>21398245</v>
      </c>
      <c r="R78" s="30">
        <f>IFERROR(INDEX('Raw Data Input'!$R:$R,MATCH($D78,'Raw Data Input'!$D:$D,0)),0)</f>
        <v>10355534</v>
      </c>
      <c r="S78" s="30">
        <f>IFERROR(INDEX('Raw Data Input'!$S:$S,MATCH($D78,'Raw Data Input'!$D:$D,0)),0)</f>
        <v>32040378</v>
      </c>
      <c r="T78" s="30">
        <f>IFERROR(INDEX('Raw Data Input'!$T:$T,MATCH($D78,'Raw Data Input'!$D:$D,0)),0)</f>
        <v>14778726</v>
      </c>
      <c r="U78" s="30">
        <f>IFERROR(INDEX('Raw Data Input'!$F:$F,MATCH($E78,'Raw Data Input'!$D:$D,0)),0)</f>
        <v>22670720</v>
      </c>
      <c r="V78" s="30">
        <f>IFERROR(INDEX('Raw Data Input'!$G:$G,MATCH($E78,'Raw Data Input'!$D:$D,0)),0)</f>
        <v>-12037018</v>
      </c>
      <c r="W78" s="30">
        <f>IFERROR(INDEX('Raw Data Input'!$H:$H,MATCH($E78,'Raw Data Input'!$D:$D,0)),0)</f>
        <v>15961964</v>
      </c>
      <c r="X78" s="30">
        <f>IFERROR(INDEX('Raw Data Input'!$I:$I,MATCH($E78,'Raw Data Input'!$D:$D,0)),0)</f>
        <v>26079591</v>
      </c>
      <c r="Y78" s="30">
        <f>IFERROR(INDEX('Raw Data Input'!$J:$J,MATCH($E78,'Raw Data Input'!$D:$D,0)),0)</f>
        <v>20411214</v>
      </c>
      <c r="Z78" s="30">
        <f>IFERROR(INDEX('Raw Data Input'!$K:$K,MATCH($E78,'Raw Data Input'!$D:$D,0)),0)</f>
        <v>0</v>
      </c>
      <c r="AA78" s="30">
        <f>IFERROR(INDEX('Raw Data Input'!$L:$L,MATCH($E78,'Raw Data Input'!$D:$D,0)),0)</f>
        <v>46546307</v>
      </c>
      <c r="AB78" s="30">
        <f>IFERROR(INDEX('Raw Data Input'!$M:$M,MATCH($E78,'Raw Data Input'!$D:$D,0)),0)</f>
        <v>-8860506</v>
      </c>
      <c r="AC78" s="30">
        <f>IFERROR(INDEX('Raw Data Input'!$N:$N,MATCH($E78,'Raw Data Input'!$D:$D,0)),0)</f>
        <v>-544942</v>
      </c>
      <c r="AD78" s="30">
        <f>IFERROR(INDEX('Raw Data Input'!$O:$O,MATCH($E78,'Raw Data Input'!$D:$D,0)),0)</f>
        <v>1146349</v>
      </c>
      <c r="AE78" s="30">
        <f>IFERROR(INDEX('Raw Data Input'!$P:$P,MATCH($E78,'Raw Data Input'!$D:$D,0)),0)</f>
        <v>3755042</v>
      </c>
      <c r="AF78" s="30">
        <f>IFERROR(INDEX('Raw Data Input'!$Q:$Q,MATCH($E78,'Raw Data Input'!$D:$D,0)),0)</f>
        <v>14002252</v>
      </c>
      <c r="AG78" s="30">
        <f>IFERROR(INDEX('Raw Data Input'!$R:$R,MATCH($E78,'Raw Data Input'!$D:$D,0)),0)</f>
        <v>13807378</v>
      </c>
      <c r="AH78" s="30">
        <f>IFERROR(INDEX('Raw Data Input'!$S:$S,MATCH($E78,'Raw Data Input'!$D:$D,0)),0)</f>
        <v>28258429</v>
      </c>
      <c r="AI78" s="30">
        <f>IFERROR(INDEX('Raw Data Input'!$T:$T,MATCH($E78,'Raw Data Input'!$D:$D,0)),0)</f>
        <v>18287878</v>
      </c>
    </row>
    <row r="79" spans="1:35" ht="15" customHeight="1" thickBot="1" x14ac:dyDescent="0.35">
      <c r="A79" s="70" t="s">
        <v>51</v>
      </c>
      <c r="B79" s="70" t="s">
        <v>52</v>
      </c>
      <c r="C79" s="71">
        <v>2023</v>
      </c>
      <c r="D79" s="72" t="str">
        <f t="shared" si="4"/>
        <v>IIL-2023</v>
      </c>
      <c r="E79" s="72" t="str">
        <f t="shared" si="5"/>
        <v>IIL-2022</v>
      </c>
      <c r="F79" s="73">
        <f>IFERROR(INDEX('Raw Data Input'!$F:$F,MATCH($D79,'Raw Data Input'!$D:$D,0)),0)</f>
        <v>31416619</v>
      </c>
      <c r="G79" s="73">
        <f>IFERROR(INDEX('Raw Data Input'!$G:$G,MATCH($D79,'Raw Data Input'!$D:$D,0)),0)</f>
        <v>-14135876</v>
      </c>
      <c r="H79" s="73">
        <f>IFERROR(INDEX('Raw Data Input'!$H:$H,MATCH($D79,'Raw Data Input'!$D:$D,0)),0)</f>
        <v>15556773</v>
      </c>
      <c r="I79" s="73">
        <f>IFERROR(INDEX('Raw Data Input'!$I:$I,MATCH($D79,'Raw Data Input'!$D:$D,0)),0)</f>
        <v>23153939</v>
      </c>
      <c r="J79" s="73">
        <f>IFERROR(INDEX('Raw Data Input'!$J:$J,MATCH($D79,'Raw Data Input'!$D:$D,0)),0)</f>
        <v>23259657</v>
      </c>
      <c r="K79" s="73">
        <f>IFERROR(INDEX('Raw Data Input'!$K:$K,MATCH($D79,'Raw Data Input'!$D:$D,0)),0)</f>
        <v>9720</v>
      </c>
      <c r="L79" s="73">
        <f>IFERROR(INDEX('Raw Data Input'!$L:$L,MATCH($D79,'Raw Data Input'!$D:$D,0)),0)</f>
        <v>46493237</v>
      </c>
      <c r="M79" s="73">
        <f>IFERROR(INDEX('Raw Data Input'!$M:$M,MATCH($D79,'Raw Data Input'!$D:$D,0)),0)</f>
        <v>-12390660</v>
      </c>
      <c r="N79" s="73">
        <f>IFERROR(INDEX('Raw Data Input'!$N:$N,MATCH($D79,'Raw Data Input'!$D:$D,0)),0)</f>
        <v>-799941</v>
      </c>
      <c r="O79" s="73">
        <f>IFERROR(INDEX('Raw Data Input'!$O:$O,MATCH($D79,'Raw Data Input'!$D:$D,0)),0)</f>
        <v>2543387</v>
      </c>
      <c r="P79" s="73">
        <f>IFERROR(INDEX('Raw Data Input'!$P:$P,MATCH($D79,'Raw Data Input'!$D:$D,0)),0)</f>
        <v>4228416</v>
      </c>
      <c r="Q79" s="73">
        <f>IFERROR(INDEX('Raw Data Input'!$Q:$Q,MATCH($D79,'Raw Data Input'!$D:$D,0)),0)</f>
        <v>20859229</v>
      </c>
      <c r="R79" s="73">
        <f>IFERROR(INDEX('Raw Data Input'!$R:$R,MATCH($D79,'Raw Data Input'!$D:$D,0)),0)</f>
        <v>7883943</v>
      </c>
      <c r="S79" s="73">
        <f>IFERROR(INDEX('Raw Data Input'!$S:$S,MATCH($D79,'Raw Data Input'!$D:$D,0)),0)</f>
        <v>29171124</v>
      </c>
      <c r="T79" s="73">
        <f>IFERROR(INDEX('Raw Data Input'!$T:$T,MATCH($D79,'Raw Data Input'!$D:$D,0)),0)</f>
        <v>17322113</v>
      </c>
      <c r="U79" s="73">
        <f>IFERROR(INDEX('Raw Data Input'!$F:$F,MATCH($E79,'Raw Data Input'!$D:$D,0)),0)</f>
        <v>20355205</v>
      </c>
      <c r="V79" s="73">
        <f>IFERROR(INDEX('Raw Data Input'!$G:$G,MATCH($E79,'Raw Data Input'!$D:$D,0)),0)</f>
        <v>-11599227</v>
      </c>
      <c r="W79" s="73">
        <f>IFERROR(INDEX('Raw Data Input'!$H:$H,MATCH($E79,'Raw Data Input'!$D:$D,0)),0)</f>
        <v>15466780</v>
      </c>
      <c r="X79" s="73">
        <f>IFERROR(INDEX('Raw Data Input'!$I:$I,MATCH($E79,'Raw Data Input'!$D:$D,0)),0)</f>
        <v>24551875</v>
      </c>
      <c r="Y79" s="73">
        <f>IFERROR(INDEX('Raw Data Input'!$J:$J,MATCH($E79,'Raw Data Input'!$D:$D,0)),0)</f>
        <v>22211072</v>
      </c>
      <c r="Z79" s="73">
        <f>IFERROR(INDEX('Raw Data Input'!$K:$K,MATCH($E79,'Raw Data Input'!$D:$D,0)),0)</f>
        <v>0</v>
      </c>
      <c r="AA79" s="73">
        <f>IFERROR(INDEX('Raw Data Input'!$L:$L,MATCH($E79,'Raw Data Input'!$D:$D,0)),0)</f>
        <v>46819104</v>
      </c>
      <c r="AB79" s="73">
        <f>IFERROR(INDEX('Raw Data Input'!$M:$M,MATCH($E79,'Raw Data Input'!$D:$D,0)),0)</f>
        <v>-11393478</v>
      </c>
      <c r="AC79" s="73">
        <f>IFERROR(INDEX('Raw Data Input'!$N:$N,MATCH($E79,'Raw Data Input'!$D:$D,0)),0)</f>
        <v>-569822</v>
      </c>
      <c r="AD79" s="73">
        <f>IFERROR(INDEX('Raw Data Input'!$O:$O,MATCH($E79,'Raw Data Input'!$D:$D,0)),0)</f>
        <v>-3509155</v>
      </c>
      <c r="AE79" s="73">
        <f>IFERROR(INDEX('Raw Data Input'!$P:$P,MATCH($E79,'Raw Data Input'!$D:$D,0)),0)</f>
        <v>2783558</v>
      </c>
      <c r="AF79" s="73">
        <f>IFERROR(INDEX('Raw Data Input'!$Q:$Q,MATCH($E79,'Raw Data Input'!$D:$D,0)),0)</f>
        <v>21398245</v>
      </c>
      <c r="AG79" s="73">
        <f>IFERROR(INDEX('Raw Data Input'!$R:$R,MATCH($E79,'Raw Data Input'!$D:$D,0)),0)</f>
        <v>10355534</v>
      </c>
      <c r="AH79" s="73">
        <f>IFERROR(INDEX('Raw Data Input'!$S:$S,MATCH($E79,'Raw Data Input'!$D:$D,0)),0)</f>
        <v>32040378</v>
      </c>
      <c r="AI79" s="73">
        <f>IFERROR(INDEX('Raw Data Input'!$T:$T,MATCH($E79,'Raw Data Input'!$D:$D,0)),0)</f>
        <v>14778726</v>
      </c>
    </row>
    <row r="80" spans="1:35" ht="15" customHeight="1" x14ac:dyDescent="0.3">
      <c r="A80" s="77" t="s">
        <v>54</v>
      </c>
      <c r="B80" s="77" t="s">
        <v>55</v>
      </c>
      <c r="C80" s="78">
        <v>2019</v>
      </c>
      <c r="D80" s="79" t="str">
        <f t="shared" si="4"/>
        <v>MMH-2019</v>
      </c>
      <c r="E80" s="79" t="str">
        <f t="shared" si="5"/>
        <v>MMH-2018</v>
      </c>
      <c r="F80" s="80">
        <f>IFERROR(INDEX('Raw Data Input'!$F:$F,MATCH($D80,'Raw Data Input'!$D:$D,0)),0)</f>
        <v>1325330</v>
      </c>
      <c r="G80" s="80">
        <f>IFERROR(INDEX('Raw Data Input'!$G:$G,MATCH($D80,'Raw Data Input'!$D:$D,0)),0)</f>
        <v>-1045687</v>
      </c>
      <c r="H80" s="80">
        <f>IFERROR(INDEX('Raw Data Input'!$H:$H,MATCH($D80,'Raw Data Input'!$D:$D,0)),0)</f>
        <v>1043105</v>
      </c>
      <c r="I80" s="80">
        <f>IFERROR(INDEX('Raw Data Input'!$I:$I,MATCH($D80,'Raw Data Input'!$D:$D,0)),0)</f>
        <v>1396982</v>
      </c>
      <c r="J80" s="80">
        <f>IFERROR(INDEX('Raw Data Input'!$J:$J,MATCH($D80,'Raw Data Input'!$D:$D,0)),0)</f>
        <v>7152823</v>
      </c>
      <c r="K80" s="80">
        <f>IFERROR(INDEX('Raw Data Input'!$K:$K,MATCH($D80,'Raw Data Input'!$D:$D,0)),0)</f>
        <v>0</v>
      </c>
      <c r="L80" s="80">
        <f>IFERROR(INDEX('Raw Data Input'!$L:$L,MATCH($D80,'Raw Data Input'!$D:$D,0)),0)</f>
        <v>8549805</v>
      </c>
      <c r="M80" s="80">
        <f>IFERROR(INDEX('Raw Data Input'!$M:$M,MATCH($D80,'Raw Data Input'!$D:$D,0)),0)</f>
        <v>-1285795</v>
      </c>
      <c r="N80" s="80">
        <f>IFERROR(INDEX('Raw Data Input'!$N:$N,MATCH($D80,'Raw Data Input'!$D:$D,0)),0)</f>
        <v>130446</v>
      </c>
      <c r="O80" s="80">
        <f>IFERROR(INDEX('Raw Data Input'!$O:$O,MATCH($D80,'Raw Data Input'!$D:$D,0)),0)</f>
        <v>-784042</v>
      </c>
      <c r="P80" s="80">
        <f>IFERROR(INDEX('Raw Data Input'!$P:$P,MATCH($D80,'Raw Data Input'!$D:$D,0)),0)</f>
        <v>695308</v>
      </c>
      <c r="Q80" s="80">
        <f>IFERROR(INDEX('Raw Data Input'!$Q:$Q,MATCH($D80,'Raw Data Input'!$D:$D,0)),0)</f>
        <v>5455135</v>
      </c>
      <c r="R80" s="80">
        <f>IFERROR(INDEX('Raw Data Input'!$R:$R,MATCH($D80,'Raw Data Input'!$D:$D,0)),0)</f>
        <v>398950</v>
      </c>
      <c r="S80" s="80">
        <f>IFERROR(INDEX('Raw Data Input'!$S:$S,MATCH($D80,'Raw Data Input'!$D:$D,0)),0)</f>
        <v>5854085</v>
      </c>
      <c r="T80" s="80">
        <f>IFERROR(INDEX('Raw Data Input'!$T:$T,MATCH($D80,'Raw Data Input'!$D:$D,0)),0)</f>
        <v>2695720</v>
      </c>
      <c r="U80" s="80">
        <f>IFERROR(INDEX('Raw Data Input'!$F:$F,MATCH($E80,'Raw Data Input'!$D:$D,0)),0)</f>
        <v>1699629</v>
      </c>
      <c r="V80" s="80">
        <f>IFERROR(INDEX('Raw Data Input'!$G:$G,MATCH($E80,'Raw Data Input'!$D:$D,0)),0)</f>
        <v>-820428</v>
      </c>
      <c r="W80" s="80">
        <f>IFERROR(INDEX('Raw Data Input'!$H:$H,MATCH($E80,'Raw Data Input'!$D:$D,0)),0)</f>
        <v>1089681</v>
      </c>
      <c r="X80" s="80">
        <f>IFERROR(INDEX('Raw Data Input'!$I:$I,MATCH($E80,'Raw Data Input'!$D:$D,0)),0)</f>
        <v>1263674</v>
      </c>
      <c r="Y80" s="80">
        <f>IFERROR(INDEX('Raw Data Input'!$J:$J,MATCH($E80,'Raw Data Input'!$D:$D,0)),0)</f>
        <v>7251363</v>
      </c>
      <c r="Z80" s="80">
        <f>IFERROR(INDEX('Raw Data Input'!$K:$K,MATCH($E80,'Raw Data Input'!$D:$D,0)),0)</f>
        <v>0</v>
      </c>
      <c r="AA80" s="80">
        <f>IFERROR(INDEX('Raw Data Input'!$L:$L,MATCH($E80,'Raw Data Input'!$D:$D,0)),0)</f>
        <v>8518193</v>
      </c>
      <c r="AB80" s="80">
        <f>IFERROR(INDEX('Raw Data Input'!$M:$M,MATCH($E80,'Raw Data Input'!$D:$D,0)),0)</f>
        <v>-1377815</v>
      </c>
      <c r="AC80" s="80">
        <f>IFERROR(INDEX('Raw Data Input'!$N:$N,MATCH($E80,'Raw Data Input'!$D:$D,0)),0)</f>
        <v>134091</v>
      </c>
      <c r="AD80" s="80">
        <f>IFERROR(INDEX('Raw Data Input'!$O:$O,MATCH($E80,'Raw Data Input'!$D:$D,0)),0)</f>
        <v>-522859</v>
      </c>
      <c r="AE80" s="80">
        <f>IFERROR(INDEX('Raw Data Input'!$P:$P,MATCH($E80,'Raw Data Input'!$D:$D,0)),0)</f>
        <v>587216</v>
      </c>
      <c r="AF80" s="80">
        <f>IFERROR(INDEX('Raw Data Input'!$Q:$Q,MATCH($E80,'Raw Data Input'!$D:$D,0)),0)</f>
        <v>4639481</v>
      </c>
      <c r="AG80" s="80">
        <f>IFERROR(INDEX('Raw Data Input'!$R:$R,MATCH($E80,'Raw Data Input'!$D:$D,0)),0)</f>
        <v>398950</v>
      </c>
      <c r="AH80" s="80">
        <f>IFERROR(INDEX('Raw Data Input'!$S:$S,MATCH($E80,'Raw Data Input'!$D:$D,0)),0)</f>
        <v>5038431</v>
      </c>
      <c r="AI80" s="80">
        <f>IFERROR(INDEX('Raw Data Input'!$T:$T,MATCH($E80,'Raw Data Input'!$D:$D,0)),0)</f>
        <v>3479762</v>
      </c>
    </row>
    <row r="81" spans="1:35" ht="15" customHeight="1" x14ac:dyDescent="0.3">
      <c r="A81" s="27" t="s">
        <v>54</v>
      </c>
      <c r="B81" s="27" t="s">
        <v>55</v>
      </c>
      <c r="C81" s="28">
        <v>2020</v>
      </c>
      <c r="D81" s="29" t="str">
        <f t="shared" si="4"/>
        <v>MMH-2020</v>
      </c>
      <c r="E81" s="29" t="str">
        <f t="shared" si="5"/>
        <v>MMH-2019</v>
      </c>
      <c r="F81" s="30">
        <f>IFERROR(INDEX('Raw Data Input'!$F:$F,MATCH($D81,'Raw Data Input'!$D:$D,0)),0)</f>
        <v>0</v>
      </c>
      <c r="G81" s="30">
        <f>IFERROR(INDEX('Raw Data Input'!$G:$G,MATCH($D81,'Raw Data Input'!$D:$D,0)),0)</f>
        <v>0</v>
      </c>
      <c r="H81" s="30">
        <f>IFERROR(INDEX('Raw Data Input'!$H:$H,MATCH($D81,'Raw Data Input'!$D:$D,0)),0)</f>
        <v>0</v>
      </c>
      <c r="I81" s="30">
        <f>IFERROR(INDEX('Raw Data Input'!$I:$I,MATCH($D81,'Raw Data Input'!$D:$D,0)),0)</f>
        <v>1341382</v>
      </c>
      <c r="J81" s="30">
        <f>IFERROR(INDEX('Raw Data Input'!$J:$J,MATCH($D81,'Raw Data Input'!$D:$D,0)),0)</f>
        <v>0</v>
      </c>
      <c r="K81" s="30">
        <f>IFERROR(INDEX('Raw Data Input'!$K:$K,MATCH($D81,'Raw Data Input'!$D:$D,0)),0)</f>
        <v>0</v>
      </c>
      <c r="L81" s="30">
        <f>IFERROR(INDEX('Raw Data Input'!$L:$L,MATCH($D81,'Raw Data Input'!$D:$D,0)),0)</f>
        <v>1342382</v>
      </c>
      <c r="M81" s="30">
        <f>IFERROR(INDEX('Raw Data Input'!$M:$M,MATCH($D81,'Raw Data Input'!$D:$D,0)),0)</f>
        <v>-10891</v>
      </c>
      <c r="N81" s="30">
        <f>IFERROR(INDEX('Raw Data Input'!$N:$N,MATCH($D81,'Raw Data Input'!$D:$D,0)),0)</f>
        <v>0</v>
      </c>
      <c r="O81" s="30">
        <f>IFERROR(INDEX('Raw Data Input'!$O:$O,MATCH($D81,'Raw Data Input'!$D:$D,0)),0)</f>
        <v>-10891</v>
      </c>
      <c r="P81" s="30">
        <f>IFERROR(INDEX('Raw Data Input'!$P:$P,MATCH($D81,'Raw Data Input'!$D:$D,0)),0)</f>
        <v>0</v>
      </c>
      <c r="Q81" s="30">
        <f>IFERROR(INDEX('Raw Data Input'!$Q:$Q,MATCH($D81,'Raw Data Input'!$D:$D,0)),0)</f>
        <v>42040</v>
      </c>
      <c r="R81" s="30">
        <f>IFERROR(INDEX('Raw Data Input'!$R:$R,MATCH($D81,'Raw Data Input'!$D:$D,0)),0)</f>
        <v>1000</v>
      </c>
      <c r="S81" s="30">
        <f>IFERROR(INDEX('Raw Data Input'!$S:$S,MATCH($D81,'Raw Data Input'!$D:$D,0)),0)</f>
        <v>42040</v>
      </c>
      <c r="T81" s="30">
        <f>IFERROR(INDEX('Raw Data Input'!$T:$T,MATCH($D81,'Raw Data Input'!$D:$D,0)),0)</f>
        <v>1300342</v>
      </c>
      <c r="U81" s="30">
        <f>IFERROR(INDEX('Raw Data Input'!$F:$F,MATCH($E81,'Raw Data Input'!$D:$D,0)),0)</f>
        <v>1325330</v>
      </c>
      <c r="V81" s="30">
        <f>IFERROR(INDEX('Raw Data Input'!$G:$G,MATCH($E81,'Raw Data Input'!$D:$D,0)),0)</f>
        <v>-1045687</v>
      </c>
      <c r="W81" s="30">
        <f>IFERROR(INDEX('Raw Data Input'!$H:$H,MATCH($E81,'Raw Data Input'!$D:$D,0)),0)</f>
        <v>1043105</v>
      </c>
      <c r="X81" s="30">
        <f>IFERROR(INDEX('Raw Data Input'!$I:$I,MATCH($E81,'Raw Data Input'!$D:$D,0)),0)</f>
        <v>1396982</v>
      </c>
      <c r="Y81" s="30">
        <f>IFERROR(INDEX('Raw Data Input'!$J:$J,MATCH($E81,'Raw Data Input'!$D:$D,0)),0)</f>
        <v>7152823</v>
      </c>
      <c r="Z81" s="30">
        <f>IFERROR(INDEX('Raw Data Input'!$K:$K,MATCH($E81,'Raw Data Input'!$D:$D,0)),0)</f>
        <v>0</v>
      </c>
      <c r="AA81" s="30">
        <f>IFERROR(INDEX('Raw Data Input'!$L:$L,MATCH($E81,'Raw Data Input'!$D:$D,0)),0)</f>
        <v>8549805</v>
      </c>
      <c r="AB81" s="30">
        <f>IFERROR(INDEX('Raw Data Input'!$M:$M,MATCH($E81,'Raw Data Input'!$D:$D,0)),0)</f>
        <v>-1285795</v>
      </c>
      <c r="AC81" s="30">
        <f>IFERROR(INDEX('Raw Data Input'!$N:$N,MATCH($E81,'Raw Data Input'!$D:$D,0)),0)</f>
        <v>130446</v>
      </c>
      <c r="AD81" s="30">
        <f>IFERROR(INDEX('Raw Data Input'!$O:$O,MATCH($E81,'Raw Data Input'!$D:$D,0)),0)</f>
        <v>-784042</v>
      </c>
      <c r="AE81" s="30">
        <f>IFERROR(INDEX('Raw Data Input'!$P:$P,MATCH($E81,'Raw Data Input'!$D:$D,0)),0)</f>
        <v>695308</v>
      </c>
      <c r="AF81" s="30">
        <f>IFERROR(INDEX('Raw Data Input'!$Q:$Q,MATCH($E81,'Raw Data Input'!$D:$D,0)),0)</f>
        <v>5455135</v>
      </c>
      <c r="AG81" s="30">
        <f>IFERROR(INDEX('Raw Data Input'!$R:$R,MATCH($E81,'Raw Data Input'!$D:$D,0)),0)</f>
        <v>398950</v>
      </c>
      <c r="AH81" s="30">
        <f>IFERROR(INDEX('Raw Data Input'!$S:$S,MATCH($E81,'Raw Data Input'!$D:$D,0)),0)</f>
        <v>5854085</v>
      </c>
      <c r="AI81" s="30">
        <f>IFERROR(INDEX('Raw Data Input'!$T:$T,MATCH($E81,'Raw Data Input'!$D:$D,0)),0)</f>
        <v>2695720</v>
      </c>
    </row>
    <row r="82" spans="1:35" ht="15" customHeight="1" x14ac:dyDescent="0.3">
      <c r="A82" s="27" t="s">
        <v>54</v>
      </c>
      <c r="B82" s="27" t="s">
        <v>55</v>
      </c>
      <c r="C82" s="28">
        <v>2021</v>
      </c>
      <c r="D82" s="29" t="str">
        <f t="shared" si="4"/>
        <v>MMH-2021</v>
      </c>
      <c r="E82" s="29" t="str">
        <f t="shared" si="5"/>
        <v>MMH-2020</v>
      </c>
      <c r="F82" s="30">
        <f>IFERROR(INDEX('Raw Data Input'!$F:$F,MATCH($D82,'Raw Data Input'!$D:$D,0)),0)</f>
        <v>0</v>
      </c>
      <c r="G82" s="30">
        <f>IFERROR(INDEX('Raw Data Input'!$G:$G,MATCH($D82,'Raw Data Input'!$D:$D,0)),0)</f>
        <v>0</v>
      </c>
      <c r="H82" s="30">
        <f>IFERROR(INDEX('Raw Data Input'!$H:$H,MATCH($D82,'Raw Data Input'!$D:$D,0)),0)</f>
        <v>0</v>
      </c>
      <c r="I82" s="30">
        <f>IFERROR(INDEX('Raw Data Input'!$I:$I,MATCH($D82,'Raw Data Input'!$D:$D,0)),0)</f>
        <v>1333382</v>
      </c>
      <c r="J82" s="30">
        <f>IFERROR(INDEX('Raw Data Input'!$J:$J,MATCH($D82,'Raw Data Input'!$D:$D,0)),0)</f>
        <v>0</v>
      </c>
      <c r="K82" s="30">
        <f>IFERROR(INDEX('Raw Data Input'!$K:$K,MATCH($D82,'Raw Data Input'!$D:$D,0)),0)</f>
        <v>0</v>
      </c>
      <c r="L82" s="30">
        <f>IFERROR(INDEX('Raw Data Input'!$L:$L,MATCH($D82,'Raw Data Input'!$D:$D,0)),0)</f>
        <v>1334382</v>
      </c>
      <c r="M82" s="30">
        <f>IFERROR(INDEX('Raw Data Input'!$M:$M,MATCH($D82,'Raw Data Input'!$D:$D,0)),0)</f>
        <v>-11385</v>
      </c>
      <c r="N82" s="30">
        <f>IFERROR(INDEX('Raw Data Input'!$N:$N,MATCH($D82,'Raw Data Input'!$D:$D,0)),0)</f>
        <v>0</v>
      </c>
      <c r="O82" s="30">
        <f>IFERROR(INDEX('Raw Data Input'!$O:$O,MATCH($D82,'Raw Data Input'!$D:$D,0)),0)</f>
        <v>-11385</v>
      </c>
      <c r="P82" s="30">
        <f>IFERROR(INDEX('Raw Data Input'!$P:$P,MATCH($D82,'Raw Data Input'!$D:$D,0)),0)</f>
        <v>0</v>
      </c>
      <c r="Q82" s="30">
        <f>IFERROR(INDEX('Raw Data Input'!$Q:$Q,MATCH($D82,'Raw Data Input'!$D:$D,0)),0)</f>
        <v>45425</v>
      </c>
      <c r="R82" s="30">
        <f>IFERROR(INDEX('Raw Data Input'!$R:$R,MATCH($D82,'Raw Data Input'!$D:$D,0)),0)</f>
        <v>1000</v>
      </c>
      <c r="S82" s="30">
        <f>IFERROR(INDEX('Raw Data Input'!$S:$S,MATCH($D82,'Raw Data Input'!$D:$D,0)),0)</f>
        <v>45425</v>
      </c>
      <c r="T82" s="30">
        <f>IFERROR(INDEX('Raw Data Input'!$T:$T,MATCH($D82,'Raw Data Input'!$D:$D,0)),0)</f>
        <v>1288957</v>
      </c>
      <c r="U82" s="30">
        <f>IFERROR(INDEX('Raw Data Input'!$F:$F,MATCH($E82,'Raw Data Input'!$D:$D,0)),0)</f>
        <v>0</v>
      </c>
      <c r="V82" s="30">
        <f>IFERROR(INDEX('Raw Data Input'!$G:$G,MATCH($E82,'Raw Data Input'!$D:$D,0)),0)</f>
        <v>0</v>
      </c>
      <c r="W82" s="30">
        <f>IFERROR(INDEX('Raw Data Input'!$H:$H,MATCH($E82,'Raw Data Input'!$D:$D,0)),0)</f>
        <v>0</v>
      </c>
      <c r="X82" s="30">
        <f>IFERROR(INDEX('Raw Data Input'!$I:$I,MATCH($E82,'Raw Data Input'!$D:$D,0)),0)</f>
        <v>1341382</v>
      </c>
      <c r="Y82" s="30">
        <f>IFERROR(INDEX('Raw Data Input'!$J:$J,MATCH($E82,'Raw Data Input'!$D:$D,0)),0)</f>
        <v>0</v>
      </c>
      <c r="Z82" s="30">
        <f>IFERROR(INDEX('Raw Data Input'!$K:$K,MATCH($E82,'Raw Data Input'!$D:$D,0)),0)</f>
        <v>0</v>
      </c>
      <c r="AA82" s="30">
        <f>IFERROR(INDEX('Raw Data Input'!$L:$L,MATCH($E82,'Raw Data Input'!$D:$D,0)),0)</f>
        <v>1342382</v>
      </c>
      <c r="AB82" s="30">
        <f>IFERROR(INDEX('Raw Data Input'!$M:$M,MATCH($E82,'Raw Data Input'!$D:$D,0)),0)</f>
        <v>-10891</v>
      </c>
      <c r="AC82" s="30">
        <f>IFERROR(INDEX('Raw Data Input'!$N:$N,MATCH($E82,'Raw Data Input'!$D:$D,0)),0)</f>
        <v>0</v>
      </c>
      <c r="AD82" s="30">
        <f>IFERROR(INDEX('Raw Data Input'!$O:$O,MATCH($E82,'Raw Data Input'!$D:$D,0)),0)</f>
        <v>-10891</v>
      </c>
      <c r="AE82" s="30">
        <f>IFERROR(INDEX('Raw Data Input'!$P:$P,MATCH($E82,'Raw Data Input'!$D:$D,0)),0)</f>
        <v>0</v>
      </c>
      <c r="AF82" s="30">
        <f>IFERROR(INDEX('Raw Data Input'!$Q:$Q,MATCH($E82,'Raw Data Input'!$D:$D,0)),0)</f>
        <v>42040</v>
      </c>
      <c r="AG82" s="30">
        <f>IFERROR(INDEX('Raw Data Input'!$R:$R,MATCH($E82,'Raw Data Input'!$D:$D,0)),0)</f>
        <v>1000</v>
      </c>
      <c r="AH82" s="30">
        <f>IFERROR(INDEX('Raw Data Input'!$S:$S,MATCH($E82,'Raw Data Input'!$D:$D,0)),0)</f>
        <v>42040</v>
      </c>
      <c r="AI82" s="30">
        <f>IFERROR(INDEX('Raw Data Input'!$T:$T,MATCH($E82,'Raw Data Input'!$D:$D,0)),0)</f>
        <v>1300342</v>
      </c>
    </row>
    <row r="83" spans="1:35" ht="15" customHeight="1" x14ac:dyDescent="0.3">
      <c r="A83" s="27" t="s">
        <v>54</v>
      </c>
      <c r="B83" s="27" t="s">
        <v>55</v>
      </c>
      <c r="C83" s="28">
        <v>2022</v>
      </c>
      <c r="D83" s="29" t="str">
        <f t="shared" si="4"/>
        <v>MMH-2022</v>
      </c>
      <c r="E83" s="29" t="str">
        <f t="shared" si="5"/>
        <v>MMH-2021</v>
      </c>
      <c r="F83" s="30">
        <f>IFERROR(INDEX('Raw Data Input'!$F:$F,MATCH($D83,'Raw Data Input'!$D:$D,0)),0)</f>
        <v>1025995</v>
      </c>
      <c r="G83" s="30">
        <f>IFERROR(INDEX('Raw Data Input'!$G:$G,MATCH($D83,'Raw Data Input'!$D:$D,0)),0)</f>
        <v>-416486</v>
      </c>
      <c r="H83" s="30">
        <f>IFERROR(INDEX('Raw Data Input'!$H:$H,MATCH($D83,'Raw Data Input'!$D:$D,0)),0)</f>
        <v>1330746</v>
      </c>
      <c r="I83" s="30">
        <f>IFERROR(INDEX('Raw Data Input'!$I:$I,MATCH($D83,'Raw Data Input'!$D:$D,0)),0)</f>
        <v>1636796</v>
      </c>
      <c r="J83" s="30">
        <f>IFERROR(INDEX('Raw Data Input'!$J:$J,MATCH($D83,'Raw Data Input'!$D:$D,0)),0)</f>
        <v>6871567</v>
      </c>
      <c r="K83" s="30">
        <f>IFERROR(INDEX('Raw Data Input'!$K:$K,MATCH($D83,'Raw Data Input'!$D:$D,0)),0)</f>
        <v>0</v>
      </c>
      <c r="L83" s="30">
        <f>IFERROR(INDEX('Raw Data Input'!$L:$L,MATCH($D83,'Raw Data Input'!$D:$D,0)),0)</f>
        <v>8508363</v>
      </c>
      <c r="M83" s="30">
        <f>IFERROR(INDEX('Raw Data Input'!$M:$M,MATCH($D83,'Raw Data Input'!$D:$D,0)),0)</f>
        <v>-743774</v>
      </c>
      <c r="N83" s="30">
        <f>IFERROR(INDEX('Raw Data Input'!$N:$N,MATCH($D83,'Raw Data Input'!$D:$D,0)),0)</f>
        <v>95189</v>
      </c>
      <c r="O83" s="30">
        <f>IFERROR(INDEX('Raw Data Input'!$O:$O,MATCH($D83,'Raw Data Input'!$D:$D,0)),0)</f>
        <v>-191082</v>
      </c>
      <c r="P83" s="30">
        <f>IFERROR(INDEX('Raw Data Input'!$P:$P,MATCH($D83,'Raw Data Input'!$D:$D,0)),0)</f>
        <v>7557</v>
      </c>
      <c r="Q83" s="30">
        <f>IFERROR(INDEX('Raw Data Input'!$Q:$Q,MATCH($D83,'Raw Data Input'!$D:$D,0)),0)</f>
        <v>6583093</v>
      </c>
      <c r="R83" s="30">
        <f>IFERROR(INDEX('Raw Data Input'!$R:$R,MATCH($D83,'Raw Data Input'!$D:$D,0)),0)</f>
        <v>398950</v>
      </c>
      <c r="S83" s="30">
        <f>IFERROR(INDEX('Raw Data Input'!$S:$S,MATCH($D83,'Raw Data Input'!$D:$D,0)),0)</f>
        <v>6982043</v>
      </c>
      <c r="T83" s="30">
        <f>IFERROR(INDEX('Raw Data Input'!$T:$T,MATCH($D83,'Raw Data Input'!$D:$D,0)),0)</f>
        <v>1526320</v>
      </c>
      <c r="U83" s="30">
        <f>IFERROR(INDEX('Raw Data Input'!$F:$F,MATCH($E83,'Raw Data Input'!$D:$D,0)),0)</f>
        <v>0</v>
      </c>
      <c r="V83" s="30">
        <f>IFERROR(INDEX('Raw Data Input'!$G:$G,MATCH($E83,'Raw Data Input'!$D:$D,0)),0)</f>
        <v>0</v>
      </c>
      <c r="W83" s="30">
        <f>IFERROR(INDEX('Raw Data Input'!$H:$H,MATCH($E83,'Raw Data Input'!$D:$D,0)),0)</f>
        <v>0</v>
      </c>
      <c r="X83" s="30">
        <f>IFERROR(INDEX('Raw Data Input'!$I:$I,MATCH($E83,'Raw Data Input'!$D:$D,0)),0)</f>
        <v>1333382</v>
      </c>
      <c r="Y83" s="30">
        <f>IFERROR(INDEX('Raw Data Input'!$J:$J,MATCH($E83,'Raw Data Input'!$D:$D,0)),0)</f>
        <v>0</v>
      </c>
      <c r="Z83" s="30">
        <f>IFERROR(INDEX('Raw Data Input'!$K:$K,MATCH($E83,'Raw Data Input'!$D:$D,0)),0)</f>
        <v>0</v>
      </c>
      <c r="AA83" s="30">
        <f>IFERROR(INDEX('Raw Data Input'!$L:$L,MATCH($E83,'Raw Data Input'!$D:$D,0)),0)</f>
        <v>1334382</v>
      </c>
      <c r="AB83" s="30">
        <f>IFERROR(INDEX('Raw Data Input'!$M:$M,MATCH($E83,'Raw Data Input'!$D:$D,0)),0)</f>
        <v>-11385</v>
      </c>
      <c r="AC83" s="30">
        <f>IFERROR(INDEX('Raw Data Input'!$N:$N,MATCH($E83,'Raw Data Input'!$D:$D,0)),0)</f>
        <v>0</v>
      </c>
      <c r="AD83" s="30">
        <f>IFERROR(INDEX('Raw Data Input'!$O:$O,MATCH($E83,'Raw Data Input'!$D:$D,0)),0)</f>
        <v>-11385</v>
      </c>
      <c r="AE83" s="30">
        <f>IFERROR(INDEX('Raw Data Input'!$P:$P,MATCH($E83,'Raw Data Input'!$D:$D,0)),0)</f>
        <v>0</v>
      </c>
      <c r="AF83" s="30">
        <f>IFERROR(INDEX('Raw Data Input'!$Q:$Q,MATCH($E83,'Raw Data Input'!$D:$D,0)),0)</f>
        <v>45425</v>
      </c>
      <c r="AG83" s="30">
        <f>IFERROR(INDEX('Raw Data Input'!$R:$R,MATCH($E83,'Raw Data Input'!$D:$D,0)),0)</f>
        <v>1000</v>
      </c>
      <c r="AH83" s="30">
        <f>IFERROR(INDEX('Raw Data Input'!$S:$S,MATCH($E83,'Raw Data Input'!$D:$D,0)),0)</f>
        <v>45425</v>
      </c>
      <c r="AI83" s="30">
        <f>IFERROR(INDEX('Raw Data Input'!$T:$T,MATCH($E83,'Raw Data Input'!$D:$D,0)),0)</f>
        <v>1288957</v>
      </c>
    </row>
    <row r="84" spans="1:35" ht="15" customHeight="1" thickBot="1" x14ac:dyDescent="0.35">
      <c r="A84" s="81" t="s">
        <v>54</v>
      </c>
      <c r="B84" s="81" t="s">
        <v>55</v>
      </c>
      <c r="C84" s="82">
        <v>2023</v>
      </c>
      <c r="D84" s="83" t="str">
        <f t="shared" si="4"/>
        <v>MMH-2023</v>
      </c>
      <c r="E84" s="83" t="str">
        <f t="shared" si="5"/>
        <v>MMH-2022</v>
      </c>
      <c r="F84" s="84">
        <f>IFERROR(INDEX('Raw Data Input'!$F:$F,MATCH($D84,'Raw Data Input'!$D:$D,0)),0)</f>
        <v>1026908</v>
      </c>
      <c r="G84" s="84">
        <f>IFERROR(INDEX('Raw Data Input'!$G:$G,MATCH($D84,'Raw Data Input'!$D:$D,0)),0)</f>
        <v>-638491</v>
      </c>
      <c r="H84" s="84">
        <f>IFERROR(INDEX('Raw Data Input'!$H:$H,MATCH($D84,'Raw Data Input'!$D:$D,0)),0)</f>
        <v>1408418</v>
      </c>
      <c r="I84" s="84">
        <f>IFERROR(INDEX('Raw Data Input'!$I:$I,MATCH($D84,'Raw Data Input'!$D:$D,0)),0)</f>
        <v>1692518</v>
      </c>
      <c r="J84" s="84">
        <f>IFERROR(INDEX('Raw Data Input'!$J:$J,MATCH($D84,'Raw Data Input'!$D:$D,0)),0)</f>
        <v>6834941</v>
      </c>
      <c r="K84" s="84">
        <f>IFERROR(INDEX('Raw Data Input'!$K:$K,MATCH($D84,'Raw Data Input'!$D:$D,0)),0)</f>
        <v>0</v>
      </c>
      <c r="L84" s="84">
        <f>IFERROR(INDEX('Raw Data Input'!$L:$L,MATCH($D84,'Raw Data Input'!$D:$D,0)),0)</f>
        <v>8527459</v>
      </c>
      <c r="M84" s="84">
        <f>IFERROR(INDEX('Raw Data Input'!$M:$M,MATCH($D84,'Raw Data Input'!$D:$D,0)),0)</f>
        <v>-725637</v>
      </c>
      <c r="N84" s="84">
        <f>IFERROR(INDEX('Raw Data Input'!$N:$N,MATCH($D84,'Raw Data Input'!$D:$D,0)),0)</f>
        <v>93125</v>
      </c>
      <c r="O84" s="84">
        <f>IFERROR(INDEX('Raw Data Input'!$O:$O,MATCH($D84,'Raw Data Input'!$D:$D,0)),0)</f>
        <v>-300212</v>
      </c>
      <c r="P84" s="84">
        <f>IFERROR(INDEX('Raw Data Input'!$P:$P,MATCH($D84,'Raw Data Input'!$D:$D,0)),0)</f>
        <v>49783</v>
      </c>
      <c r="Q84" s="84">
        <f>IFERROR(INDEX('Raw Data Input'!$Q:$Q,MATCH($D84,'Raw Data Input'!$D:$D,0)),0)</f>
        <v>6902401</v>
      </c>
      <c r="R84" s="84">
        <f>IFERROR(INDEX('Raw Data Input'!$R:$R,MATCH($D84,'Raw Data Input'!$D:$D,0)),0)</f>
        <v>398950</v>
      </c>
      <c r="S84" s="84">
        <f>IFERROR(INDEX('Raw Data Input'!$S:$S,MATCH($D84,'Raw Data Input'!$D:$D,0)),0)</f>
        <v>7301351</v>
      </c>
      <c r="T84" s="84">
        <f>IFERROR(INDEX('Raw Data Input'!$T:$T,MATCH($D84,'Raw Data Input'!$D:$D,0)),0)</f>
        <v>1226108</v>
      </c>
      <c r="U84" s="84">
        <f>IFERROR(INDEX('Raw Data Input'!$F:$F,MATCH($E84,'Raw Data Input'!$D:$D,0)),0)</f>
        <v>1025995</v>
      </c>
      <c r="V84" s="84">
        <f>IFERROR(INDEX('Raw Data Input'!$G:$G,MATCH($E84,'Raw Data Input'!$D:$D,0)),0)</f>
        <v>-416486</v>
      </c>
      <c r="W84" s="84">
        <f>IFERROR(INDEX('Raw Data Input'!$H:$H,MATCH($E84,'Raw Data Input'!$D:$D,0)),0)</f>
        <v>1330746</v>
      </c>
      <c r="X84" s="84">
        <f>IFERROR(INDEX('Raw Data Input'!$I:$I,MATCH($E84,'Raw Data Input'!$D:$D,0)),0)</f>
        <v>1636796</v>
      </c>
      <c r="Y84" s="84">
        <f>IFERROR(INDEX('Raw Data Input'!$J:$J,MATCH($E84,'Raw Data Input'!$D:$D,0)),0)</f>
        <v>6871567</v>
      </c>
      <c r="Z84" s="84">
        <f>IFERROR(INDEX('Raw Data Input'!$K:$K,MATCH($E84,'Raw Data Input'!$D:$D,0)),0)</f>
        <v>0</v>
      </c>
      <c r="AA84" s="84">
        <f>IFERROR(INDEX('Raw Data Input'!$L:$L,MATCH($E84,'Raw Data Input'!$D:$D,0)),0)</f>
        <v>8508363</v>
      </c>
      <c r="AB84" s="84">
        <f>IFERROR(INDEX('Raw Data Input'!$M:$M,MATCH($E84,'Raw Data Input'!$D:$D,0)),0)</f>
        <v>-743774</v>
      </c>
      <c r="AC84" s="84">
        <f>IFERROR(INDEX('Raw Data Input'!$N:$N,MATCH($E84,'Raw Data Input'!$D:$D,0)),0)</f>
        <v>95189</v>
      </c>
      <c r="AD84" s="84">
        <f>IFERROR(INDEX('Raw Data Input'!$O:$O,MATCH($E84,'Raw Data Input'!$D:$D,0)),0)</f>
        <v>-191082</v>
      </c>
      <c r="AE84" s="84">
        <f>IFERROR(INDEX('Raw Data Input'!$P:$P,MATCH($E84,'Raw Data Input'!$D:$D,0)),0)</f>
        <v>7557</v>
      </c>
      <c r="AF84" s="84">
        <f>IFERROR(INDEX('Raw Data Input'!$Q:$Q,MATCH($E84,'Raw Data Input'!$D:$D,0)),0)</f>
        <v>6583093</v>
      </c>
      <c r="AG84" s="84">
        <f>IFERROR(INDEX('Raw Data Input'!$R:$R,MATCH($E84,'Raw Data Input'!$D:$D,0)),0)</f>
        <v>398950</v>
      </c>
      <c r="AH84" s="84">
        <f>IFERROR(INDEX('Raw Data Input'!$S:$S,MATCH($E84,'Raw Data Input'!$D:$D,0)),0)</f>
        <v>6982043</v>
      </c>
      <c r="AI84" s="84">
        <f>IFERROR(INDEX('Raw Data Input'!$T:$T,MATCH($E84,'Raw Data Input'!$D:$D,0)),0)</f>
        <v>1526320</v>
      </c>
    </row>
    <row r="85" spans="1:35" ht="15" customHeight="1" x14ac:dyDescent="0.3">
      <c r="A85" s="85" t="s">
        <v>56</v>
      </c>
      <c r="B85" s="85" t="s">
        <v>57</v>
      </c>
      <c r="C85" s="86">
        <v>2019</v>
      </c>
      <c r="D85" s="87" t="str">
        <f t="shared" si="4"/>
        <v>SAMBA-2019</v>
      </c>
      <c r="E85" s="87" t="str">
        <f t="shared" si="5"/>
        <v>SAMBA-2018</v>
      </c>
      <c r="F85" s="88">
        <f>IFERROR(INDEX('Raw Data Input'!$F:$F,MATCH($D85,'Raw Data Input'!$D:$D,0)),0)</f>
        <v>557965</v>
      </c>
      <c r="G85" s="88">
        <f>IFERROR(INDEX('Raw Data Input'!$G:$G,MATCH($D85,'Raw Data Input'!$D:$D,0)),0)</f>
        <v>-376156</v>
      </c>
      <c r="H85" s="88">
        <f>IFERROR(INDEX('Raw Data Input'!$H:$H,MATCH($D85,'Raw Data Input'!$D:$D,0)),0)</f>
        <v>95720</v>
      </c>
      <c r="I85" s="88">
        <f>IFERROR(INDEX('Raw Data Input'!$I:$I,MATCH($D85,'Raw Data Input'!$D:$D,0)),0)</f>
        <v>554236</v>
      </c>
      <c r="J85" s="88">
        <f>IFERROR(INDEX('Raw Data Input'!$J:$J,MATCH($D85,'Raw Data Input'!$D:$D,0)),0)</f>
        <v>3473801</v>
      </c>
      <c r="K85" s="88">
        <f>IFERROR(INDEX('Raw Data Input'!$K:$K,MATCH($D85,'Raw Data Input'!$D:$D,0)),0)</f>
        <v>0</v>
      </c>
      <c r="L85" s="88">
        <f>IFERROR(INDEX('Raw Data Input'!$L:$L,MATCH($D85,'Raw Data Input'!$D:$D,0)),0)</f>
        <v>4051409</v>
      </c>
      <c r="M85" s="88">
        <f>IFERROR(INDEX('Raw Data Input'!$M:$M,MATCH($D85,'Raw Data Input'!$D:$D,0)),0)</f>
        <v>-184881</v>
      </c>
      <c r="N85" s="88">
        <f>IFERROR(INDEX('Raw Data Input'!$N:$N,MATCH($D85,'Raw Data Input'!$D:$D,0)),0)</f>
        <v>-194790</v>
      </c>
      <c r="O85" s="88">
        <f>IFERROR(INDEX('Raw Data Input'!$O:$O,MATCH($D85,'Raw Data Input'!$D:$D,0)),0)</f>
        <v>-200300</v>
      </c>
      <c r="P85" s="88">
        <f>IFERROR(INDEX('Raw Data Input'!$P:$P,MATCH($D85,'Raw Data Input'!$D:$D,0)),0)</f>
        <v>-4909</v>
      </c>
      <c r="Q85" s="88">
        <f>IFERROR(INDEX('Raw Data Input'!$Q:$Q,MATCH($D85,'Raw Data Input'!$D:$D,0)),0)</f>
        <v>566769</v>
      </c>
      <c r="R85" s="88">
        <f>IFERROR(INDEX('Raw Data Input'!$R:$R,MATCH($D85,'Raw Data Input'!$D:$D,0)),0)</f>
        <v>151753</v>
      </c>
      <c r="S85" s="88">
        <f>IFERROR(INDEX('Raw Data Input'!$S:$S,MATCH($D85,'Raw Data Input'!$D:$D,0)),0)</f>
        <v>1422280</v>
      </c>
      <c r="T85" s="88">
        <f>IFERROR(INDEX('Raw Data Input'!$T:$T,MATCH($D85,'Raw Data Input'!$D:$D,0)),0)</f>
        <v>2629129</v>
      </c>
      <c r="U85" s="88">
        <f>IFERROR(INDEX('Raw Data Input'!$F:$F,MATCH($E85,'Raw Data Input'!$D:$D,0)),0)</f>
        <v>342020</v>
      </c>
      <c r="V85" s="88">
        <f>IFERROR(INDEX('Raw Data Input'!$G:$G,MATCH($E85,'Raw Data Input'!$D:$D,0)),0)</f>
        <v>-239804</v>
      </c>
      <c r="W85" s="88">
        <f>IFERROR(INDEX('Raw Data Input'!$H:$H,MATCH($E85,'Raw Data Input'!$D:$D,0)),0)</f>
        <v>97425</v>
      </c>
      <c r="X85" s="88">
        <f>IFERROR(INDEX('Raw Data Input'!$I:$I,MATCH($E85,'Raw Data Input'!$D:$D,0)),0)</f>
        <v>445874</v>
      </c>
      <c r="Y85" s="88">
        <f>IFERROR(INDEX('Raw Data Input'!$J:$J,MATCH($E85,'Raw Data Input'!$D:$D,0)),0)</f>
        <v>3621845</v>
      </c>
      <c r="Z85" s="88">
        <f>IFERROR(INDEX('Raw Data Input'!$K:$K,MATCH($E85,'Raw Data Input'!$D:$D,0)),0)</f>
        <v>0</v>
      </c>
      <c r="AA85" s="88">
        <f>IFERROR(INDEX('Raw Data Input'!$L:$L,MATCH($E85,'Raw Data Input'!$D:$D,0)),0)</f>
        <v>4114464</v>
      </c>
      <c r="AB85" s="88">
        <f>IFERROR(INDEX('Raw Data Input'!$M:$M,MATCH($E85,'Raw Data Input'!$D:$D,0)),0)</f>
        <v>-265531</v>
      </c>
      <c r="AC85" s="88">
        <f>IFERROR(INDEX('Raw Data Input'!$N:$N,MATCH($E85,'Raw Data Input'!$D:$D,0)),0)</f>
        <v>-171417</v>
      </c>
      <c r="AD85" s="88">
        <f>IFERROR(INDEX('Raw Data Input'!$O:$O,MATCH($E85,'Raw Data Input'!$D:$D,0)),0)</f>
        <v>-347641</v>
      </c>
      <c r="AE85" s="88">
        <f>IFERROR(INDEX('Raw Data Input'!$P:$P,MATCH($E85,'Raw Data Input'!$D:$D,0)),0)</f>
        <v>290407</v>
      </c>
      <c r="AF85" s="88">
        <f>IFERROR(INDEX('Raw Data Input'!$Q:$Q,MATCH($E85,'Raw Data Input'!$D:$D,0)),0)</f>
        <v>430417</v>
      </c>
      <c r="AG85" s="88">
        <f>IFERROR(INDEX('Raw Data Input'!$R:$R,MATCH($E85,'Raw Data Input'!$D:$D,0)),0)</f>
        <v>151753</v>
      </c>
      <c r="AH85" s="88">
        <f>IFERROR(INDEX('Raw Data Input'!$S:$S,MATCH($E85,'Raw Data Input'!$D:$D,0)),0)</f>
        <v>1285035</v>
      </c>
      <c r="AI85" s="88">
        <f>IFERROR(INDEX('Raw Data Input'!$T:$T,MATCH($E85,'Raw Data Input'!$D:$D,0)),0)</f>
        <v>2829429</v>
      </c>
    </row>
    <row r="86" spans="1:35" ht="15" customHeight="1" x14ac:dyDescent="0.3">
      <c r="A86" s="27" t="s">
        <v>56</v>
      </c>
      <c r="B86" s="27" t="s">
        <v>57</v>
      </c>
      <c r="C86" s="28">
        <v>2020</v>
      </c>
      <c r="D86" s="29" t="str">
        <f t="shared" si="4"/>
        <v>SAMBA-2020</v>
      </c>
      <c r="E86" s="29" t="str">
        <f t="shared" si="5"/>
        <v>SAMBA-2019</v>
      </c>
      <c r="F86" s="30">
        <f>IFERROR(INDEX('Raw Data Input'!$F:$F,MATCH($D86,'Raw Data Input'!$D:$D,0)),0)</f>
        <v>672907</v>
      </c>
      <c r="G86" s="30">
        <f>IFERROR(INDEX('Raw Data Input'!$G:$G,MATCH($D86,'Raw Data Input'!$D:$D,0)),0)</f>
        <v>-446098</v>
      </c>
      <c r="H86" s="30">
        <f>IFERROR(INDEX('Raw Data Input'!$H:$H,MATCH($D86,'Raw Data Input'!$D:$D,0)),0)</f>
        <v>119004</v>
      </c>
      <c r="I86" s="30">
        <f>IFERROR(INDEX('Raw Data Input'!$I:$I,MATCH($D86,'Raw Data Input'!$D:$D,0)),0)</f>
        <v>574623</v>
      </c>
      <c r="J86" s="30">
        <f>IFERROR(INDEX('Raw Data Input'!$J:$J,MATCH($D86,'Raw Data Input'!$D:$D,0)),0)</f>
        <v>3350637</v>
      </c>
      <c r="K86" s="30">
        <f>IFERROR(INDEX('Raw Data Input'!$K:$K,MATCH($D86,'Raw Data Input'!$D:$D,0)),0)</f>
        <v>0</v>
      </c>
      <c r="L86" s="30">
        <f>IFERROR(INDEX('Raw Data Input'!$L:$L,MATCH($D86,'Raw Data Input'!$D:$D,0)),0)</f>
        <v>3996290</v>
      </c>
      <c r="M86" s="30">
        <f>IFERROR(INDEX('Raw Data Input'!$M:$M,MATCH($D86,'Raw Data Input'!$D:$D,0)),0)</f>
        <v>-162836</v>
      </c>
      <c r="N86" s="30">
        <f>IFERROR(INDEX('Raw Data Input'!$N:$N,MATCH($D86,'Raw Data Input'!$D:$D,0)),0)</f>
        <v>-146536</v>
      </c>
      <c r="O86" s="30">
        <f>IFERROR(INDEX('Raw Data Input'!$O:$O,MATCH($D86,'Raw Data Input'!$D:$D,0)),0)</f>
        <v>-83532</v>
      </c>
      <c r="P86" s="30">
        <f>IFERROR(INDEX('Raw Data Input'!$P:$P,MATCH($D86,'Raw Data Input'!$D:$D,0)),0)</f>
        <v>-24494</v>
      </c>
      <c r="Q86" s="30">
        <f>IFERROR(INDEX('Raw Data Input'!$Q:$Q,MATCH($D86,'Raw Data Input'!$D:$D,0)),0)</f>
        <v>429338</v>
      </c>
      <c r="R86" s="30">
        <f>IFERROR(INDEX('Raw Data Input'!$R:$R,MATCH($D86,'Raw Data Input'!$D:$D,0)),0)</f>
        <v>301753</v>
      </c>
      <c r="S86" s="30">
        <f>IFERROR(INDEX('Raw Data Input'!$S:$S,MATCH($D86,'Raw Data Input'!$D:$D,0)),0)</f>
        <v>1450693</v>
      </c>
      <c r="T86" s="30">
        <f>IFERROR(INDEX('Raw Data Input'!$T:$T,MATCH($D86,'Raw Data Input'!$D:$D,0)),0)</f>
        <v>2545597</v>
      </c>
      <c r="U86" s="30">
        <f>IFERROR(INDEX('Raw Data Input'!$F:$F,MATCH($E86,'Raw Data Input'!$D:$D,0)),0)</f>
        <v>557965</v>
      </c>
      <c r="V86" s="30">
        <f>IFERROR(INDEX('Raw Data Input'!$G:$G,MATCH($E86,'Raw Data Input'!$D:$D,0)),0)</f>
        <v>-376156</v>
      </c>
      <c r="W86" s="30">
        <f>IFERROR(INDEX('Raw Data Input'!$H:$H,MATCH($E86,'Raw Data Input'!$D:$D,0)),0)</f>
        <v>95720</v>
      </c>
      <c r="X86" s="30">
        <f>IFERROR(INDEX('Raw Data Input'!$I:$I,MATCH($E86,'Raw Data Input'!$D:$D,0)),0)</f>
        <v>554236</v>
      </c>
      <c r="Y86" s="30">
        <f>IFERROR(INDEX('Raw Data Input'!$J:$J,MATCH($E86,'Raw Data Input'!$D:$D,0)),0)</f>
        <v>3473801</v>
      </c>
      <c r="Z86" s="30">
        <f>IFERROR(INDEX('Raw Data Input'!$K:$K,MATCH($E86,'Raw Data Input'!$D:$D,0)),0)</f>
        <v>0</v>
      </c>
      <c r="AA86" s="30">
        <f>IFERROR(INDEX('Raw Data Input'!$L:$L,MATCH($E86,'Raw Data Input'!$D:$D,0)),0)</f>
        <v>4051409</v>
      </c>
      <c r="AB86" s="30">
        <f>IFERROR(INDEX('Raw Data Input'!$M:$M,MATCH($E86,'Raw Data Input'!$D:$D,0)),0)</f>
        <v>-184881</v>
      </c>
      <c r="AC86" s="30">
        <f>IFERROR(INDEX('Raw Data Input'!$N:$N,MATCH($E86,'Raw Data Input'!$D:$D,0)),0)</f>
        <v>-194790</v>
      </c>
      <c r="AD86" s="30">
        <f>IFERROR(INDEX('Raw Data Input'!$O:$O,MATCH($E86,'Raw Data Input'!$D:$D,0)),0)</f>
        <v>-200300</v>
      </c>
      <c r="AE86" s="30">
        <f>IFERROR(INDEX('Raw Data Input'!$P:$P,MATCH($E86,'Raw Data Input'!$D:$D,0)),0)</f>
        <v>-4909</v>
      </c>
      <c r="AF86" s="30">
        <f>IFERROR(INDEX('Raw Data Input'!$Q:$Q,MATCH($E86,'Raw Data Input'!$D:$D,0)),0)</f>
        <v>566769</v>
      </c>
      <c r="AG86" s="30">
        <f>IFERROR(INDEX('Raw Data Input'!$R:$R,MATCH($E86,'Raw Data Input'!$D:$D,0)),0)</f>
        <v>151753</v>
      </c>
      <c r="AH86" s="30">
        <f>IFERROR(INDEX('Raw Data Input'!$S:$S,MATCH($E86,'Raw Data Input'!$D:$D,0)),0)</f>
        <v>1422280</v>
      </c>
      <c r="AI86" s="30">
        <f>IFERROR(INDEX('Raw Data Input'!$T:$T,MATCH($E86,'Raw Data Input'!$D:$D,0)),0)</f>
        <v>2629129</v>
      </c>
    </row>
    <row r="87" spans="1:35" ht="15" customHeight="1" x14ac:dyDescent="0.3">
      <c r="A87" s="27" t="s">
        <v>56</v>
      </c>
      <c r="B87" s="27" t="s">
        <v>57</v>
      </c>
      <c r="C87" s="28">
        <v>2021</v>
      </c>
      <c r="D87" s="29" t="str">
        <f t="shared" si="4"/>
        <v>SAMBA-2021</v>
      </c>
      <c r="E87" s="29" t="str">
        <f t="shared" si="5"/>
        <v>SAMBA-2020</v>
      </c>
      <c r="F87" s="30">
        <f>IFERROR(INDEX('Raw Data Input'!$F:$F,MATCH($D87,'Raw Data Input'!$D:$D,0)),0)</f>
        <v>1059735</v>
      </c>
      <c r="G87" s="30">
        <f>IFERROR(INDEX('Raw Data Input'!$G:$G,MATCH($D87,'Raw Data Input'!$D:$D,0)),0)</f>
        <v>-628638</v>
      </c>
      <c r="H87" s="30">
        <f>IFERROR(INDEX('Raw Data Input'!$H:$H,MATCH($D87,'Raw Data Input'!$D:$D,0)),0)</f>
        <v>100910</v>
      </c>
      <c r="I87" s="30">
        <f>IFERROR(INDEX('Raw Data Input'!$I:$I,MATCH($D87,'Raw Data Input'!$D:$D,0)),0)</f>
        <v>476853</v>
      </c>
      <c r="J87" s="30">
        <f>IFERROR(INDEX('Raw Data Input'!$J:$J,MATCH($D87,'Raw Data Input'!$D:$D,0)),0)</f>
        <v>3269176</v>
      </c>
      <c r="K87" s="30">
        <f>IFERROR(INDEX('Raw Data Input'!$K:$K,MATCH($D87,'Raw Data Input'!$D:$D,0)),0)</f>
        <v>0</v>
      </c>
      <c r="L87" s="30">
        <f>IFERROR(INDEX('Raw Data Input'!$L:$L,MATCH($D87,'Raw Data Input'!$D:$D,0)),0)</f>
        <v>3793688</v>
      </c>
      <c r="M87" s="30">
        <f>IFERROR(INDEX('Raw Data Input'!$M:$M,MATCH($D87,'Raw Data Input'!$D:$D,0)),0)</f>
        <v>-203098</v>
      </c>
      <c r="N87" s="30">
        <f>IFERROR(INDEX('Raw Data Input'!$N:$N,MATCH($D87,'Raw Data Input'!$D:$D,0)),0)</f>
        <v>-133536</v>
      </c>
      <c r="O87" s="30">
        <f>IFERROR(INDEX('Raw Data Input'!$O:$O,MATCH($D87,'Raw Data Input'!$D:$D,0)),0)</f>
        <v>94993</v>
      </c>
      <c r="P87" s="30">
        <f>IFERROR(INDEX('Raw Data Input'!$P:$P,MATCH($D87,'Raw Data Input'!$D:$D,0)),0)</f>
        <v>-26808</v>
      </c>
      <c r="Q87" s="30">
        <f>IFERROR(INDEX('Raw Data Input'!$Q:$Q,MATCH($D87,'Raw Data Input'!$D:$D,0)),0)</f>
        <v>137710</v>
      </c>
      <c r="R87" s="30">
        <f>IFERROR(INDEX('Raw Data Input'!$R:$R,MATCH($D87,'Raw Data Input'!$D:$D,0)),0)</f>
        <v>300148</v>
      </c>
      <c r="S87" s="30">
        <f>IFERROR(INDEX('Raw Data Input'!$S:$S,MATCH($D87,'Raw Data Input'!$D:$D,0)),0)</f>
        <v>1153098</v>
      </c>
      <c r="T87" s="30">
        <f>IFERROR(INDEX('Raw Data Input'!$T:$T,MATCH($D87,'Raw Data Input'!$D:$D,0)),0)</f>
        <v>2640590</v>
      </c>
      <c r="U87" s="30">
        <f>IFERROR(INDEX('Raw Data Input'!$F:$F,MATCH($E87,'Raw Data Input'!$D:$D,0)),0)</f>
        <v>672907</v>
      </c>
      <c r="V87" s="30">
        <f>IFERROR(INDEX('Raw Data Input'!$G:$G,MATCH($E87,'Raw Data Input'!$D:$D,0)),0)</f>
        <v>-446098</v>
      </c>
      <c r="W87" s="30">
        <f>IFERROR(INDEX('Raw Data Input'!$H:$H,MATCH($E87,'Raw Data Input'!$D:$D,0)),0)</f>
        <v>119004</v>
      </c>
      <c r="X87" s="30">
        <f>IFERROR(INDEX('Raw Data Input'!$I:$I,MATCH($E87,'Raw Data Input'!$D:$D,0)),0)</f>
        <v>574623</v>
      </c>
      <c r="Y87" s="30">
        <f>IFERROR(INDEX('Raw Data Input'!$J:$J,MATCH($E87,'Raw Data Input'!$D:$D,0)),0)</f>
        <v>3350637</v>
      </c>
      <c r="Z87" s="30">
        <f>IFERROR(INDEX('Raw Data Input'!$K:$K,MATCH($E87,'Raw Data Input'!$D:$D,0)),0)</f>
        <v>0</v>
      </c>
      <c r="AA87" s="30">
        <f>IFERROR(INDEX('Raw Data Input'!$L:$L,MATCH($E87,'Raw Data Input'!$D:$D,0)),0)</f>
        <v>3996290</v>
      </c>
      <c r="AB87" s="30">
        <f>IFERROR(INDEX('Raw Data Input'!$M:$M,MATCH($E87,'Raw Data Input'!$D:$D,0)),0)</f>
        <v>-162836</v>
      </c>
      <c r="AC87" s="30">
        <f>IFERROR(INDEX('Raw Data Input'!$N:$N,MATCH($E87,'Raw Data Input'!$D:$D,0)),0)</f>
        <v>-146536</v>
      </c>
      <c r="AD87" s="30">
        <f>IFERROR(INDEX('Raw Data Input'!$O:$O,MATCH($E87,'Raw Data Input'!$D:$D,0)),0)</f>
        <v>-83532</v>
      </c>
      <c r="AE87" s="30">
        <f>IFERROR(INDEX('Raw Data Input'!$P:$P,MATCH($E87,'Raw Data Input'!$D:$D,0)),0)</f>
        <v>-24494</v>
      </c>
      <c r="AF87" s="30">
        <f>IFERROR(INDEX('Raw Data Input'!$Q:$Q,MATCH($E87,'Raw Data Input'!$D:$D,0)),0)</f>
        <v>429338</v>
      </c>
      <c r="AG87" s="30">
        <f>IFERROR(INDEX('Raw Data Input'!$R:$R,MATCH($E87,'Raw Data Input'!$D:$D,0)),0)</f>
        <v>301753</v>
      </c>
      <c r="AH87" s="30">
        <f>IFERROR(INDEX('Raw Data Input'!$S:$S,MATCH($E87,'Raw Data Input'!$D:$D,0)),0)</f>
        <v>1450693</v>
      </c>
      <c r="AI87" s="30">
        <f>IFERROR(INDEX('Raw Data Input'!$T:$T,MATCH($E87,'Raw Data Input'!$D:$D,0)),0)</f>
        <v>2545597</v>
      </c>
    </row>
    <row r="88" spans="1:35" ht="15" customHeight="1" x14ac:dyDescent="0.3">
      <c r="A88" s="27" t="s">
        <v>56</v>
      </c>
      <c r="B88" s="27" t="s">
        <v>57</v>
      </c>
      <c r="C88" s="28">
        <v>2022</v>
      </c>
      <c r="D88" s="29" t="str">
        <f t="shared" si="4"/>
        <v>SAMBA-2022</v>
      </c>
      <c r="E88" s="29" t="str">
        <f t="shared" si="5"/>
        <v>SAMBA-2021</v>
      </c>
      <c r="F88" s="30">
        <f>IFERROR(INDEX('Raw Data Input'!$F:$F,MATCH($D88,'Raw Data Input'!$D:$D,0)),0)</f>
        <v>760925</v>
      </c>
      <c r="G88" s="30">
        <f>IFERROR(INDEX('Raw Data Input'!$G:$G,MATCH($D88,'Raw Data Input'!$D:$D,0)),0)</f>
        <v>-697909</v>
      </c>
      <c r="H88" s="30">
        <f>IFERROR(INDEX('Raw Data Input'!$H:$H,MATCH($D88,'Raw Data Input'!$D:$D,0)),0)</f>
        <v>129789</v>
      </c>
      <c r="I88" s="30">
        <f>IFERROR(INDEX('Raw Data Input'!$I:$I,MATCH($D88,'Raw Data Input'!$D:$D,0)),0)</f>
        <v>372106</v>
      </c>
      <c r="J88" s="30">
        <f>IFERROR(INDEX('Raw Data Input'!$J:$J,MATCH($D88,'Raw Data Input'!$D:$D,0)),0)</f>
        <v>3195546</v>
      </c>
      <c r="K88" s="30">
        <f>IFERROR(INDEX('Raw Data Input'!$K:$K,MATCH($D88,'Raw Data Input'!$D:$D,0)),0)</f>
        <v>0</v>
      </c>
      <c r="L88" s="30">
        <f>IFERROR(INDEX('Raw Data Input'!$L:$L,MATCH($D88,'Raw Data Input'!$D:$D,0)),0)</f>
        <v>3591939</v>
      </c>
      <c r="M88" s="30">
        <f>IFERROR(INDEX('Raw Data Input'!$M:$M,MATCH($D88,'Raw Data Input'!$D:$D,0)),0)</f>
        <v>-172427</v>
      </c>
      <c r="N88" s="30">
        <f>IFERROR(INDEX('Raw Data Input'!$N:$N,MATCH($D88,'Raw Data Input'!$D:$D,0)),0)</f>
        <v>-123842</v>
      </c>
      <c r="O88" s="30">
        <f>IFERROR(INDEX('Raw Data Input'!$O:$O,MATCH($D88,'Raw Data Input'!$D:$D,0)),0)</f>
        <v>-219589</v>
      </c>
      <c r="P88" s="30">
        <f>IFERROR(INDEX('Raw Data Input'!$P:$P,MATCH($D88,'Raw Data Input'!$D:$D,0)),0)</f>
        <v>39510</v>
      </c>
      <c r="Q88" s="30">
        <f>IFERROR(INDEX('Raw Data Input'!$Q:$Q,MATCH($D88,'Raw Data Input'!$D:$D,0)),0)</f>
        <v>251357</v>
      </c>
      <c r="R88" s="30">
        <f>IFERROR(INDEX('Raw Data Input'!$R:$R,MATCH($D88,'Raw Data Input'!$D:$D,0)),0)</f>
        <v>278942</v>
      </c>
      <c r="S88" s="30">
        <f>IFERROR(INDEX('Raw Data Input'!$S:$S,MATCH($D88,'Raw Data Input'!$D:$D,0)),0)</f>
        <v>1245539</v>
      </c>
      <c r="T88" s="30">
        <f>IFERROR(INDEX('Raw Data Input'!$T:$T,MATCH($D88,'Raw Data Input'!$D:$D,0)),0)</f>
        <v>2346400</v>
      </c>
      <c r="U88" s="30">
        <f>IFERROR(INDEX('Raw Data Input'!$F:$F,MATCH($E88,'Raw Data Input'!$D:$D,0)),0)</f>
        <v>1059735</v>
      </c>
      <c r="V88" s="30">
        <f>IFERROR(INDEX('Raw Data Input'!$G:$G,MATCH($E88,'Raw Data Input'!$D:$D,0)),0)</f>
        <v>-628638</v>
      </c>
      <c r="W88" s="30">
        <f>IFERROR(INDEX('Raw Data Input'!$H:$H,MATCH($E88,'Raw Data Input'!$D:$D,0)),0)</f>
        <v>100910</v>
      </c>
      <c r="X88" s="30">
        <f>IFERROR(INDEX('Raw Data Input'!$I:$I,MATCH($E88,'Raw Data Input'!$D:$D,0)),0)</f>
        <v>476853</v>
      </c>
      <c r="Y88" s="30">
        <f>IFERROR(INDEX('Raw Data Input'!$J:$J,MATCH($E88,'Raw Data Input'!$D:$D,0)),0)</f>
        <v>3269176</v>
      </c>
      <c r="Z88" s="30">
        <f>IFERROR(INDEX('Raw Data Input'!$K:$K,MATCH($E88,'Raw Data Input'!$D:$D,0)),0)</f>
        <v>0</v>
      </c>
      <c r="AA88" s="30">
        <f>IFERROR(INDEX('Raw Data Input'!$L:$L,MATCH($E88,'Raw Data Input'!$D:$D,0)),0)</f>
        <v>3793688</v>
      </c>
      <c r="AB88" s="30">
        <f>IFERROR(INDEX('Raw Data Input'!$M:$M,MATCH($E88,'Raw Data Input'!$D:$D,0)),0)</f>
        <v>-203098</v>
      </c>
      <c r="AC88" s="30">
        <f>IFERROR(INDEX('Raw Data Input'!$N:$N,MATCH($E88,'Raw Data Input'!$D:$D,0)),0)</f>
        <v>-133536</v>
      </c>
      <c r="AD88" s="30">
        <f>IFERROR(INDEX('Raw Data Input'!$O:$O,MATCH($E88,'Raw Data Input'!$D:$D,0)),0)</f>
        <v>94993</v>
      </c>
      <c r="AE88" s="30">
        <f>IFERROR(INDEX('Raw Data Input'!$P:$P,MATCH($E88,'Raw Data Input'!$D:$D,0)),0)</f>
        <v>-26808</v>
      </c>
      <c r="AF88" s="30">
        <f>IFERROR(INDEX('Raw Data Input'!$Q:$Q,MATCH($E88,'Raw Data Input'!$D:$D,0)),0)</f>
        <v>137710</v>
      </c>
      <c r="AG88" s="30">
        <f>IFERROR(INDEX('Raw Data Input'!$R:$R,MATCH($E88,'Raw Data Input'!$D:$D,0)),0)</f>
        <v>300148</v>
      </c>
      <c r="AH88" s="30">
        <f>IFERROR(INDEX('Raw Data Input'!$S:$S,MATCH($E88,'Raw Data Input'!$D:$D,0)),0)</f>
        <v>1153098</v>
      </c>
      <c r="AI88" s="30">
        <f>IFERROR(INDEX('Raw Data Input'!$T:$T,MATCH($E88,'Raw Data Input'!$D:$D,0)),0)</f>
        <v>2640590</v>
      </c>
    </row>
    <row r="89" spans="1:35" ht="15" customHeight="1" thickBot="1" x14ac:dyDescent="0.35">
      <c r="A89" s="70" t="s">
        <v>56</v>
      </c>
      <c r="B89" s="70" t="s">
        <v>57</v>
      </c>
      <c r="C89" s="71">
        <v>2023</v>
      </c>
      <c r="D89" s="72" t="str">
        <f t="shared" si="4"/>
        <v>SAMBA-2023</v>
      </c>
      <c r="E89" s="72" t="str">
        <f t="shared" si="5"/>
        <v>SAMBA-2022</v>
      </c>
      <c r="F89" s="73">
        <f>IFERROR(INDEX('Raw Data Input'!$F:$F,MATCH($D89,'Raw Data Input'!$D:$D,0)),0)</f>
        <v>386583</v>
      </c>
      <c r="G89" s="73">
        <f>IFERROR(INDEX('Raw Data Input'!$G:$G,MATCH($D89,'Raw Data Input'!$D:$D,0)),0)</f>
        <v>-404505</v>
      </c>
      <c r="H89" s="73">
        <f>IFERROR(INDEX('Raw Data Input'!$H:$H,MATCH($D89,'Raw Data Input'!$D:$D,0)),0)</f>
        <v>47398</v>
      </c>
      <c r="I89" s="73">
        <f>IFERROR(INDEX('Raw Data Input'!$I:$I,MATCH($D89,'Raw Data Input'!$D:$D,0)),0)</f>
        <v>243901</v>
      </c>
      <c r="J89" s="73">
        <f>IFERROR(INDEX('Raw Data Input'!$J:$J,MATCH($D89,'Raw Data Input'!$D:$D,0)),0)</f>
        <v>2861256</v>
      </c>
      <c r="K89" s="73">
        <f>IFERROR(INDEX('Raw Data Input'!$K:$K,MATCH($D89,'Raw Data Input'!$D:$D,0)),0)</f>
        <v>0</v>
      </c>
      <c r="L89" s="73">
        <f>IFERROR(INDEX('Raw Data Input'!$L:$L,MATCH($D89,'Raw Data Input'!$D:$D,0)),0)</f>
        <v>3105157</v>
      </c>
      <c r="M89" s="73">
        <f>IFERROR(INDEX('Raw Data Input'!$M:$M,MATCH($D89,'Raw Data Input'!$D:$D,0)),0)</f>
        <v>-187490</v>
      </c>
      <c r="N89" s="73">
        <f>IFERROR(INDEX('Raw Data Input'!$N:$N,MATCH($D89,'Raw Data Input'!$D:$D,0)),0)</f>
        <v>-359378</v>
      </c>
      <c r="O89" s="73">
        <f>IFERROR(INDEX('Raw Data Input'!$O:$O,MATCH($D89,'Raw Data Input'!$D:$D,0)),0)</f>
        <v>-540141</v>
      </c>
      <c r="P89" s="73">
        <f>IFERROR(INDEX('Raw Data Input'!$P:$P,MATCH($D89,'Raw Data Input'!$D:$D,0)),0)</f>
        <v>24761</v>
      </c>
      <c r="Q89" s="73">
        <f>IFERROR(INDEX('Raw Data Input'!$Q:$Q,MATCH($D89,'Raw Data Input'!$D:$D,0)),0)</f>
        <v>324415</v>
      </c>
      <c r="R89" s="73">
        <f>IFERROR(INDEX('Raw Data Input'!$R:$R,MATCH($D89,'Raw Data Input'!$D:$D,0)),0)</f>
        <v>259244</v>
      </c>
      <c r="S89" s="73">
        <f>IFERROR(INDEX('Raw Data Input'!$S:$S,MATCH($D89,'Raw Data Input'!$D:$D,0)),0)</f>
        <v>1298899</v>
      </c>
      <c r="T89" s="73">
        <f>IFERROR(INDEX('Raw Data Input'!$T:$T,MATCH($D89,'Raw Data Input'!$D:$D,0)),0)</f>
        <v>1806259</v>
      </c>
      <c r="U89" s="73">
        <f>IFERROR(INDEX('Raw Data Input'!$F:$F,MATCH($E89,'Raw Data Input'!$D:$D,0)),0)</f>
        <v>760925</v>
      </c>
      <c r="V89" s="73">
        <f>IFERROR(INDEX('Raw Data Input'!$G:$G,MATCH($E89,'Raw Data Input'!$D:$D,0)),0)</f>
        <v>-697909</v>
      </c>
      <c r="W89" s="73">
        <f>IFERROR(INDEX('Raw Data Input'!$H:$H,MATCH($E89,'Raw Data Input'!$D:$D,0)),0)</f>
        <v>129789</v>
      </c>
      <c r="X89" s="73">
        <f>IFERROR(INDEX('Raw Data Input'!$I:$I,MATCH($E89,'Raw Data Input'!$D:$D,0)),0)</f>
        <v>372106</v>
      </c>
      <c r="Y89" s="73">
        <f>IFERROR(INDEX('Raw Data Input'!$J:$J,MATCH($E89,'Raw Data Input'!$D:$D,0)),0)</f>
        <v>3195546</v>
      </c>
      <c r="Z89" s="73">
        <f>IFERROR(INDEX('Raw Data Input'!$K:$K,MATCH($E89,'Raw Data Input'!$D:$D,0)),0)</f>
        <v>0</v>
      </c>
      <c r="AA89" s="73">
        <f>IFERROR(INDEX('Raw Data Input'!$L:$L,MATCH($E89,'Raw Data Input'!$D:$D,0)),0)</f>
        <v>3591939</v>
      </c>
      <c r="AB89" s="73">
        <f>IFERROR(INDEX('Raw Data Input'!$M:$M,MATCH($E89,'Raw Data Input'!$D:$D,0)),0)</f>
        <v>-172427</v>
      </c>
      <c r="AC89" s="73">
        <f>IFERROR(INDEX('Raw Data Input'!$N:$N,MATCH($E89,'Raw Data Input'!$D:$D,0)),0)</f>
        <v>-123842</v>
      </c>
      <c r="AD89" s="73">
        <f>IFERROR(INDEX('Raw Data Input'!$O:$O,MATCH($E89,'Raw Data Input'!$D:$D,0)),0)</f>
        <v>-219589</v>
      </c>
      <c r="AE89" s="73">
        <f>IFERROR(INDEX('Raw Data Input'!$P:$P,MATCH($E89,'Raw Data Input'!$D:$D,0)),0)</f>
        <v>39510</v>
      </c>
      <c r="AF89" s="73">
        <f>IFERROR(INDEX('Raw Data Input'!$Q:$Q,MATCH($E89,'Raw Data Input'!$D:$D,0)),0)</f>
        <v>251357</v>
      </c>
      <c r="AG89" s="73">
        <f>IFERROR(INDEX('Raw Data Input'!$R:$R,MATCH($E89,'Raw Data Input'!$D:$D,0)),0)</f>
        <v>278942</v>
      </c>
      <c r="AH89" s="73">
        <f>IFERROR(INDEX('Raw Data Input'!$S:$S,MATCH($E89,'Raw Data Input'!$D:$D,0)),0)</f>
        <v>1245539</v>
      </c>
      <c r="AI89" s="73">
        <f>IFERROR(INDEX('Raw Data Input'!$T:$T,MATCH($E89,'Raw Data Input'!$D:$D,0)),0)</f>
        <v>2346400</v>
      </c>
    </row>
    <row r="90" spans="1:35" ht="15" customHeight="1" x14ac:dyDescent="0.3">
      <c r="A90" s="77" t="s">
        <v>58</v>
      </c>
      <c r="B90" s="77" t="s">
        <v>59</v>
      </c>
      <c r="C90" s="78">
        <v>2019</v>
      </c>
      <c r="D90" s="79" t="str">
        <f t="shared" si="4"/>
        <v>MLC-2019</v>
      </c>
      <c r="E90" s="79" t="str">
        <f t="shared" si="5"/>
        <v>MLC-2018</v>
      </c>
      <c r="F90" s="80">
        <f>IFERROR(INDEX('Raw Data Input'!$F:$F,MATCH($D90,'Raw Data Input'!$D:$D,0)),0)</f>
        <v>21918273</v>
      </c>
      <c r="G90" s="80">
        <f>IFERROR(INDEX('Raw Data Input'!$G:$G,MATCH($D90,'Raw Data Input'!$D:$D,0)),0)</f>
        <v>-16180849</v>
      </c>
      <c r="H90" s="80">
        <f>IFERROR(INDEX('Raw Data Input'!$H:$H,MATCH($D90,'Raw Data Input'!$D:$D,0)),0)</f>
        <v>6017753</v>
      </c>
      <c r="I90" s="80">
        <f>IFERROR(INDEX('Raw Data Input'!$I:$I,MATCH($D90,'Raw Data Input'!$D:$D,0)),0)</f>
        <v>22485264</v>
      </c>
      <c r="J90" s="80">
        <f>IFERROR(INDEX('Raw Data Input'!$J:$J,MATCH($D90,'Raw Data Input'!$D:$D,0)),0)</f>
        <v>33572917</v>
      </c>
      <c r="K90" s="80">
        <f>IFERROR(INDEX('Raw Data Input'!$K:$K,MATCH($D90,'Raw Data Input'!$D:$D,0)),0)</f>
        <v>0</v>
      </c>
      <c r="L90" s="80">
        <f>IFERROR(INDEX('Raw Data Input'!$L:$L,MATCH($D90,'Raw Data Input'!$D:$D,0)),0)</f>
        <v>58470276</v>
      </c>
      <c r="M90" s="80">
        <f>IFERROR(INDEX('Raw Data Input'!$M:$M,MATCH($D90,'Raw Data Input'!$D:$D,0)),0)</f>
        <v>-7665070</v>
      </c>
      <c r="N90" s="80">
        <f>IFERROR(INDEX('Raw Data Input'!$N:$N,MATCH($D90,'Raw Data Input'!$D:$D,0)),0)</f>
        <v>0</v>
      </c>
      <c r="O90" s="80">
        <f>IFERROR(INDEX('Raw Data Input'!$O:$O,MATCH($D90,'Raw Data Input'!$D:$D,0)),0)</f>
        <v>-2688819</v>
      </c>
      <c r="P90" s="80">
        <f>IFERROR(INDEX('Raw Data Input'!$P:$P,MATCH($D90,'Raw Data Input'!$D:$D,0)),0)</f>
        <v>-310003</v>
      </c>
      <c r="Q90" s="80">
        <f>IFERROR(INDEX('Raw Data Input'!$Q:$Q,MATCH($D90,'Raw Data Input'!$D:$D,0)),0)</f>
        <v>27896776</v>
      </c>
      <c r="R90" s="80">
        <f>IFERROR(INDEX('Raw Data Input'!$R:$R,MATCH($D90,'Raw Data Input'!$D:$D,0)),0)</f>
        <v>0</v>
      </c>
      <c r="S90" s="80">
        <f>IFERROR(INDEX('Raw Data Input'!$S:$S,MATCH($D90,'Raw Data Input'!$D:$D,0)),0)</f>
        <v>30756716</v>
      </c>
      <c r="T90" s="80">
        <f>IFERROR(INDEX('Raw Data Input'!$T:$T,MATCH($D90,'Raw Data Input'!$D:$D,0)),0)</f>
        <v>27713561</v>
      </c>
      <c r="U90" s="80">
        <f>IFERROR(INDEX('Raw Data Input'!$F:$F,MATCH($E90,'Raw Data Input'!$D:$D,0)),0)</f>
        <v>39817850</v>
      </c>
      <c r="V90" s="80">
        <f>IFERROR(INDEX('Raw Data Input'!$G:$G,MATCH($E90,'Raw Data Input'!$D:$D,0)),0)</f>
        <v>-31082166</v>
      </c>
      <c r="W90" s="80">
        <f>IFERROR(INDEX('Raw Data Input'!$H:$H,MATCH($E90,'Raw Data Input'!$D:$D,0)),0)</f>
        <v>10481692</v>
      </c>
      <c r="X90" s="80">
        <f>IFERROR(INDEX('Raw Data Input'!$I:$I,MATCH($E90,'Raw Data Input'!$D:$D,0)),0)</f>
        <v>38909305</v>
      </c>
      <c r="Y90" s="80">
        <f>IFERROR(INDEX('Raw Data Input'!$J:$J,MATCH($E90,'Raw Data Input'!$D:$D,0)),0)</f>
        <v>33173729</v>
      </c>
      <c r="Z90" s="80">
        <f>IFERROR(INDEX('Raw Data Input'!$K:$K,MATCH($E90,'Raw Data Input'!$D:$D,0)),0)</f>
        <v>0</v>
      </c>
      <c r="AA90" s="80">
        <f>IFERROR(INDEX('Raw Data Input'!$L:$L,MATCH($E90,'Raw Data Input'!$D:$D,0)),0)</f>
        <v>74507509</v>
      </c>
      <c r="AB90" s="80">
        <f>IFERROR(INDEX('Raw Data Input'!$M:$M,MATCH($E90,'Raw Data Input'!$D:$D,0)),0)</f>
        <v>-10195868</v>
      </c>
      <c r="AC90" s="80">
        <f>IFERROR(INDEX('Raw Data Input'!$N:$N,MATCH($E90,'Raw Data Input'!$D:$D,0)),0)</f>
        <v>0</v>
      </c>
      <c r="AD90" s="80">
        <f>IFERROR(INDEX('Raw Data Input'!$O:$O,MATCH($E90,'Raw Data Input'!$D:$D,0)),0)</f>
        <v>-443531</v>
      </c>
      <c r="AE90" s="80">
        <f>IFERROR(INDEX('Raw Data Input'!$P:$P,MATCH($E90,'Raw Data Input'!$D:$D,0)),0)</f>
        <v>-4052131</v>
      </c>
      <c r="AF90" s="80">
        <f>IFERROR(INDEX('Raw Data Input'!$Q:$Q,MATCH($E90,'Raw Data Input'!$D:$D,0)),0)</f>
        <v>38003136</v>
      </c>
      <c r="AG90" s="80">
        <f>IFERROR(INDEX('Raw Data Input'!$R:$R,MATCH($E90,'Raw Data Input'!$D:$D,0)),0)</f>
        <v>0</v>
      </c>
      <c r="AH90" s="80">
        <f>IFERROR(INDEX('Raw Data Input'!$S:$S,MATCH($E90,'Raw Data Input'!$D:$D,0)),0)</f>
        <v>41626413</v>
      </c>
      <c r="AI90" s="80">
        <f>IFERROR(INDEX('Raw Data Input'!$T:$T,MATCH($E90,'Raw Data Input'!$D:$D,0)),0)</f>
        <v>32881096</v>
      </c>
    </row>
    <row r="91" spans="1:35" ht="15" customHeight="1" thickBot="1" x14ac:dyDescent="0.35">
      <c r="A91" s="81" t="s">
        <v>58</v>
      </c>
      <c r="B91" s="81" t="s">
        <v>59</v>
      </c>
      <c r="C91" s="82">
        <v>2020</v>
      </c>
      <c r="D91" s="83" t="str">
        <f t="shared" si="4"/>
        <v>MLC-2020</v>
      </c>
      <c r="E91" s="83" t="str">
        <f t="shared" si="5"/>
        <v>MLC-2019</v>
      </c>
      <c r="F91" s="84">
        <f>IFERROR(INDEX('Raw Data Input'!$F:$F,MATCH($D91,'Raw Data Input'!$D:$D,0)),0)</f>
        <v>9970882</v>
      </c>
      <c r="G91" s="84">
        <f>IFERROR(INDEX('Raw Data Input'!$G:$G,MATCH($D91,'Raw Data Input'!$D:$D,0)),0)</f>
        <v>-8250141</v>
      </c>
      <c r="H91" s="84">
        <f>IFERROR(INDEX('Raw Data Input'!$H:$H,MATCH($D91,'Raw Data Input'!$D:$D,0)),0)</f>
        <v>14933576</v>
      </c>
      <c r="I91" s="84">
        <f>IFERROR(INDEX('Raw Data Input'!$I:$I,MATCH($D91,'Raw Data Input'!$D:$D,0)),0)</f>
        <v>24966906</v>
      </c>
      <c r="J91" s="84">
        <f>IFERROR(INDEX('Raw Data Input'!$J:$J,MATCH($D91,'Raw Data Input'!$D:$D,0)),0)</f>
        <v>97764847</v>
      </c>
      <c r="K91" s="84">
        <f>IFERROR(INDEX('Raw Data Input'!$K:$K,MATCH($D91,'Raw Data Input'!$D:$D,0)),0)</f>
        <v>0</v>
      </c>
      <c r="L91" s="84">
        <f>IFERROR(INDEX('Raw Data Input'!$L:$L,MATCH($D91,'Raw Data Input'!$D:$D,0)),0)</f>
        <v>131100529</v>
      </c>
      <c r="M91" s="84">
        <f>IFERROR(INDEX('Raw Data Input'!$M:$M,MATCH($D91,'Raw Data Input'!$D:$D,0)),0)</f>
        <v>-4542329</v>
      </c>
      <c r="N91" s="84">
        <f>IFERROR(INDEX('Raw Data Input'!$N:$N,MATCH($D91,'Raw Data Input'!$D:$D,0)),0)</f>
        <v>0</v>
      </c>
      <c r="O91" s="84">
        <f>IFERROR(INDEX('Raw Data Input'!$O:$O,MATCH($D91,'Raw Data Input'!$D:$D,0)),0)</f>
        <v>-3959508</v>
      </c>
      <c r="P91" s="84">
        <f>IFERROR(INDEX('Raw Data Input'!$P:$P,MATCH($D91,'Raw Data Input'!$D:$D,0)),0)</f>
        <v>1150112</v>
      </c>
      <c r="Q91" s="84">
        <f>IFERROR(INDEX('Raw Data Input'!$Q:$Q,MATCH($D91,'Raw Data Input'!$D:$D,0)),0)</f>
        <v>34028342</v>
      </c>
      <c r="R91" s="84">
        <f>IFERROR(INDEX('Raw Data Input'!$R:$R,MATCH($D91,'Raw Data Input'!$D:$D,0)),0)</f>
        <v>0</v>
      </c>
      <c r="S91" s="84">
        <f>IFERROR(INDEX('Raw Data Input'!$S:$S,MATCH($D91,'Raw Data Input'!$D:$D,0)),0)</f>
        <v>55476483</v>
      </c>
      <c r="T91" s="84">
        <f>IFERROR(INDEX('Raw Data Input'!$T:$T,MATCH($D91,'Raw Data Input'!$D:$D,0)),0)</f>
        <v>75624046</v>
      </c>
      <c r="U91" s="84">
        <f>IFERROR(INDEX('Raw Data Input'!$F:$F,MATCH($E91,'Raw Data Input'!$D:$D,0)),0)</f>
        <v>21918273</v>
      </c>
      <c r="V91" s="84">
        <f>IFERROR(INDEX('Raw Data Input'!$G:$G,MATCH($E91,'Raw Data Input'!$D:$D,0)),0)</f>
        <v>-16180849</v>
      </c>
      <c r="W91" s="84">
        <f>IFERROR(INDEX('Raw Data Input'!$H:$H,MATCH($E91,'Raw Data Input'!$D:$D,0)),0)</f>
        <v>6017753</v>
      </c>
      <c r="X91" s="84">
        <f>IFERROR(INDEX('Raw Data Input'!$I:$I,MATCH($E91,'Raw Data Input'!$D:$D,0)),0)</f>
        <v>22485264</v>
      </c>
      <c r="Y91" s="84">
        <f>IFERROR(INDEX('Raw Data Input'!$J:$J,MATCH($E91,'Raw Data Input'!$D:$D,0)),0)</f>
        <v>33572917</v>
      </c>
      <c r="Z91" s="84">
        <f>IFERROR(INDEX('Raw Data Input'!$K:$K,MATCH($E91,'Raw Data Input'!$D:$D,0)),0)</f>
        <v>0</v>
      </c>
      <c r="AA91" s="84">
        <f>IFERROR(INDEX('Raw Data Input'!$L:$L,MATCH($E91,'Raw Data Input'!$D:$D,0)),0)</f>
        <v>58470276</v>
      </c>
      <c r="AB91" s="84">
        <f>IFERROR(INDEX('Raw Data Input'!$M:$M,MATCH($E91,'Raw Data Input'!$D:$D,0)),0)</f>
        <v>-7665070</v>
      </c>
      <c r="AC91" s="84">
        <f>IFERROR(INDEX('Raw Data Input'!$N:$N,MATCH($E91,'Raw Data Input'!$D:$D,0)),0)</f>
        <v>0</v>
      </c>
      <c r="AD91" s="84">
        <f>IFERROR(INDEX('Raw Data Input'!$O:$O,MATCH($E91,'Raw Data Input'!$D:$D,0)),0)</f>
        <v>-2688819</v>
      </c>
      <c r="AE91" s="84">
        <f>IFERROR(INDEX('Raw Data Input'!$P:$P,MATCH($E91,'Raw Data Input'!$D:$D,0)),0)</f>
        <v>-310003</v>
      </c>
      <c r="AF91" s="84">
        <f>IFERROR(INDEX('Raw Data Input'!$Q:$Q,MATCH($E91,'Raw Data Input'!$D:$D,0)),0)</f>
        <v>27896776</v>
      </c>
      <c r="AG91" s="84">
        <f>IFERROR(INDEX('Raw Data Input'!$R:$R,MATCH($E91,'Raw Data Input'!$D:$D,0)),0)</f>
        <v>0</v>
      </c>
      <c r="AH91" s="84">
        <f>IFERROR(INDEX('Raw Data Input'!$S:$S,MATCH($E91,'Raw Data Input'!$D:$D,0)),0)</f>
        <v>30756716</v>
      </c>
      <c r="AI91" s="84">
        <f>IFERROR(INDEX('Raw Data Input'!$T:$T,MATCH($E91,'Raw Data Input'!$D:$D,0)),0)</f>
        <v>27713561</v>
      </c>
    </row>
    <row r="92" spans="1:35" ht="15" customHeight="1" x14ac:dyDescent="0.3">
      <c r="A92" s="85" t="s">
        <v>62</v>
      </c>
      <c r="B92" s="85" t="s">
        <v>63</v>
      </c>
      <c r="C92" s="86">
        <v>2019</v>
      </c>
      <c r="D92" s="87" t="str">
        <f t="shared" si="4"/>
        <v>PZC-2019</v>
      </c>
      <c r="E92" s="87" t="str">
        <f t="shared" si="5"/>
        <v>PZC-2018</v>
      </c>
      <c r="F92" s="88">
        <f>IFERROR(INDEX('Raw Data Input'!$F:$F,MATCH($D92,'Raw Data Input'!$D:$D,0)),0)</f>
        <v>106517018</v>
      </c>
      <c r="G92" s="88">
        <f>IFERROR(INDEX('Raw Data Input'!$G:$G,MATCH($D92,'Raw Data Input'!$D:$D,0)),0)</f>
        <v>-81461330</v>
      </c>
      <c r="H92" s="88">
        <f>IFERROR(INDEX('Raw Data Input'!$H:$H,MATCH($D92,'Raw Data Input'!$D:$D,0)),0)</f>
        <v>0</v>
      </c>
      <c r="I92" s="88">
        <f>IFERROR(INDEX('Raw Data Input'!$I:$I,MATCH($D92,'Raw Data Input'!$D:$D,0)),0)</f>
        <v>55540228</v>
      </c>
      <c r="J92" s="88">
        <f>IFERROR(INDEX('Raw Data Input'!$J:$J,MATCH($D92,'Raw Data Input'!$D:$D,0)),0)</f>
        <v>4485770</v>
      </c>
      <c r="K92" s="88">
        <f>IFERROR(INDEX('Raw Data Input'!$K:$K,MATCH($D92,'Raw Data Input'!$D:$D,0)),0)</f>
        <v>0</v>
      </c>
      <c r="L92" s="88">
        <f>IFERROR(INDEX('Raw Data Input'!$L:$L,MATCH($D92,'Raw Data Input'!$D:$D,0)),0)</f>
        <v>133483230</v>
      </c>
      <c r="M92" s="88">
        <f>IFERROR(INDEX('Raw Data Input'!$M:$M,MATCH($D92,'Raw Data Input'!$D:$D,0)),0)</f>
        <v>-9774488</v>
      </c>
      <c r="N92" s="88">
        <f>IFERROR(INDEX('Raw Data Input'!$N:$N,MATCH($D92,'Raw Data Input'!$D:$D,0)),0)</f>
        <v>0</v>
      </c>
      <c r="O92" s="88">
        <f>IFERROR(INDEX('Raw Data Input'!$O:$O,MATCH($D92,'Raw Data Input'!$D:$D,0)),0)</f>
        <v>42495592</v>
      </c>
      <c r="P92" s="88">
        <f>IFERROR(INDEX('Raw Data Input'!$P:$P,MATCH($D92,'Raw Data Input'!$D:$D,0)),0)</f>
        <v>2581812</v>
      </c>
      <c r="Q92" s="88">
        <f>IFERROR(INDEX('Raw Data Input'!$Q:$Q,MATCH($D92,'Raw Data Input'!$D:$D,0)),0)</f>
        <v>26046393</v>
      </c>
      <c r="R92" s="88">
        <f>IFERROR(INDEX('Raw Data Input'!$R:$R,MATCH($D92,'Raw Data Input'!$D:$D,0)),0)</f>
        <v>27949781</v>
      </c>
      <c r="S92" s="88">
        <f>IFERROR(INDEX('Raw Data Input'!$S:$S,MATCH($D92,'Raw Data Input'!$D:$D,0)),0)</f>
        <v>69095649</v>
      </c>
      <c r="T92" s="88">
        <f>IFERROR(INDEX('Raw Data Input'!$T:$T,MATCH($D92,'Raw Data Input'!$D:$D,0)),0)</f>
        <v>64387581</v>
      </c>
      <c r="U92" s="88">
        <f>IFERROR(INDEX('Raw Data Input'!$F:$F,MATCH($E92,'Raw Data Input'!$D:$D,0)),0)</f>
        <v>111603488</v>
      </c>
      <c r="V92" s="88">
        <f>IFERROR(INDEX('Raw Data Input'!$G:$G,MATCH($E92,'Raw Data Input'!$D:$D,0)),0)</f>
        <v>-83870319</v>
      </c>
      <c r="W92" s="88">
        <f>IFERROR(INDEX('Raw Data Input'!$H:$H,MATCH($E92,'Raw Data Input'!$D:$D,0)),0)</f>
        <v>0</v>
      </c>
      <c r="X92" s="88">
        <f>IFERROR(INDEX('Raw Data Input'!$I:$I,MATCH($E92,'Raw Data Input'!$D:$D,0)),0)</f>
        <v>51984793</v>
      </c>
      <c r="Y92" s="88">
        <f>IFERROR(INDEX('Raw Data Input'!$J:$J,MATCH($E92,'Raw Data Input'!$D:$D,0)),0)</f>
        <v>7108672</v>
      </c>
      <c r="Z92" s="88">
        <f>IFERROR(INDEX('Raw Data Input'!$K:$K,MATCH($E92,'Raw Data Input'!$D:$D,0)),0)</f>
        <v>1405271</v>
      </c>
      <c r="AA92" s="88">
        <f>IFERROR(INDEX('Raw Data Input'!$L:$L,MATCH($E92,'Raw Data Input'!$D:$D,0)),0)</f>
        <v>93844816</v>
      </c>
      <c r="AB92" s="88">
        <f>IFERROR(INDEX('Raw Data Input'!$M:$M,MATCH($E92,'Raw Data Input'!$D:$D,0)),0)</f>
        <v>-11242366</v>
      </c>
      <c r="AC92" s="88">
        <f>IFERROR(INDEX('Raw Data Input'!$N:$N,MATCH($E92,'Raw Data Input'!$D:$D,0)),0)</f>
        <v>0</v>
      </c>
      <c r="AD92" s="88">
        <f>IFERROR(INDEX('Raw Data Input'!$O:$O,MATCH($E92,'Raw Data Input'!$D:$D,0)),0)</f>
        <v>6480638</v>
      </c>
      <c r="AE92" s="88">
        <f>IFERROR(INDEX('Raw Data Input'!$P:$P,MATCH($E92,'Raw Data Input'!$D:$D,0)),0)</f>
        <v>-11920953</v>
      </c>
      <c r="AF92" s="88">
        <f>IFERROR(INDEX('Raw Data Input'!$Q:$Q,MATCH($E92,'Raw Data Input'!$D:$D,0)),0)</f>
        <v>45526907</v>
      </c>
      <c r="AG92" s="88">
        <f>IFERROR(INDEX('Raw Data Input'!$R:$R,MATCH($E92,'Raw Data Input'!$D:$D,0)),0)</f>
        <v>24646442</v>
      </c>
      <c r="AH92" s="88">
        <f>IFERROR(INDEX('Raw Data Input'!$S:$S,MATCH($E92,'Raw Data Input'!$D:$D,0)),0)</f>
        <v>71952827</v>
      </c>
      <c r="AI92" s="88">
        <f>IFERROR(INDEX('Raw Data Input'!$T:$T,MATCH($E92,'Raw Data Input'!$D:$D,0)),0)</f>
        <v>21891989</v>
      </c>
    </row>
    <row r="93" spans="1:35" ht="15" customHeight="1" thickBot="1" x14ac:dyDescent="0.35">
      <c r="A93" s="70" t="s">
        <v>62</v>
      </c>
      <c r="B93" s="70" t="s">
        <v>63</v>
      </c>
      <c r="C93" s="71">
        <v>2020</v>
      </c>
      <c r="D93" s="72" t="str">
        <f t="shared" si="4"/>
        <v>PZC-2020</v>
      </c>
      <c r="E93" s="72" t="str">
        <f t="shared" si="5"/>
        <v>PZC-2019</v>
      </c>
      <c r="F93" s="73">
        <f>IFERROR(INDEX('Raw Data Input'!$F:$F,MATCH($D93,'Raw Data Input'!$D:$D,0)),0)</f>
        <v>0</v>
      </c>
      <c r="G93" s="73">
        <f>IFERROR(INDEX('Raw Data Input'!$G:$G,MATCH($D93,'Raw Data Input'!$D:$D,0)),0)</f>
        <v>0</v>
      </c>
      <c r="H93" s="73">
        <f>IFERROR(INDEX('Raw Data Input'!$H:$H,MATCH($D93,'Raw Data Input'!$D:$D,0)),0)</f>
        <v>0</v>
      </c>
      <c r="I93" s="73">
        <f>IFERROR(INDEX('Raw Data Input'!$I:$I,MATCH($D93,'Raw Data Input'!$D:$D,0)),0)</f>
        <v>0</v>
      </c>
      <c r="J93" s="73">
        <f>IFERROR(INDEX('Raw Data Input'!$J:$J,MATCH($D93,'Raw Data Input'!$D:$D,0)),0)</f>
        <v>0</v>
      </c>
      <c r="K93" s="73">
        <f>IFERROR(INDEX('Raw Data Input'!$K:$K,MATCH($D93,'Raw Data Input'!$D:$D,0)),0)</f>
        <v>0</v>
      </c>
      <c r="L93" s="73">
        <f>IFERROR(INDEX('Raw Data Input'!$L:$L,MATCH($D93,'Raw Data Input'!$D:$D,0)),0)</f>
        <v>0</v>
      </c>
      <c r="M93" s="73">
        <f>IFERROR(INDEX('Raw Data Input'!$M:$M,MATCH($D93,'Raw Data Input'!$D:$D,0)),0)</f>
        <v>0</v>
      </c>
      <c r="N93" s="73">
        <f>IFERROR(INDEX('Raw Data Input'!$N:$N,MATCH($D93,'Raw Data Input'!$D:$D,0)),0)</f>
        <v>0</v>
      </c>
      <c r="O93" s="73">
        <f>IFERROR(INDEX('Raw Data Input'!$O:$O,MATCH($D93,'Raw Data Input'!$D:$D,0)),0)</f>
        <v>0</v>
      </c>
      <c r="P93" s="73">
        <f>IFERROR(INDEX('Raw Data Input'!$P:$P,MATCH($D93,'Raw Data Input'!$D:$D,0)),0)</f>
        <v>0</v>
      </c>
      <c r="Q93" s="73">
        <f>IFERROR(INDEX('Raw Data Input'!$Q:$Q,MATCH($D93,'Raw Data Input'!$D:$D,0)),0)</f>
        <v>0</v>
      </c>
      <c r="R93" s="73">
        <f>IFERROR(INDEX('Raw Data Input'!$R:$R,MATCH($D93,'Raw Data Input'!$D:$D,0)),0)</f>
        <v>0</v>
      </c>
      <c r="S93" s="73">
        <f>IFERROR(INDEX('Raw Data Input'!$S:$S,MATCH($D93,'Raw Data Input'!$D:$D,0)),0)</f>
        <v>0</v>
      </c>
      <c r="T93" s="73">
        <f>IFERROR(INDEX('Raw Data Input'!$T:$T,MATCH($D93,'Raw Data Input'!$D:$D,0)),0)</f>
        <v>0</v>
      </c>
      <c r="U93" s="73">
        <f>IFERROR(INDEX('Raw Data Input'!$F:$F,MATCH($E93,'Raw Data Input'!$D:$D,0)),0)</f>
        <v>106517018</v>
      </c>
      <c r="V93" s="73">
        <f>IFERROR(INDEX('Raw Data Input'!$G:$G,MATCH($E93,'Raw Data Input'!$D:$D,0)),0)</f>
        <v>-81461330</v>
      </c>
      <c r="W93" s="73">
        <f>IFERROR(INDEX('Raw Data Input'!$H:$H,MATCH($E93,'Raw Data Input'!$D:$D,0)),0)</f>
        <v>0</v>
      </c>
      <c r="X93" s="73">
        <f>IFERROR(INDEX('Raw Data Input'!$I:$I,MATCH($E93,'Raw Data Input'!$D:$D,0)),0)</f>
        <v>55540228</v>
      </c>
      <c r="Y93" s="73">
        <f>IFERROR(INDEX('Raw Data Input'!$J:$J,MATCH($E93,'Raw Data Input'!$D:$D,0)),0)</f>
        <v>4485770</v>
      </c>
      <c r="Z93" s="73">
        <f>IFERROR(INDEX('Raw Data Input'!$K:$K,MATCH($E93,'Raw Data Input'!$D:$D,0)),0)</f>
        <v>0</v>
      </c>
      <c r="AA93" s="73">
        <f>IFERROR(INDEX('Raw Data Input'!$L:$L,MATCH($E93,'Raw Data Input'!$D:$D,0)),0)</f>
        <v>133483230</v>
      </c>
      <c r="AB93" s="73">
        <f>IFERROR(INDEX('Raw Data Input'!$M:$M,MATCH($E93,'Raw Data Input'!$D:$D,0)),0)</f>
        <v>-9774488</v>
      </c>
      <c r="AC93" s="73">
        <f>IFERROR(INDEX('Raw Data Input'!$N:$N,MATCH($E93,'Raw Data Input'!$D:$D,0)),0)</f>
        <v>0</v>
      </c>
      <c r="AD93" s="73">
        <f>IFERROR(INDEX('Raw Data Input'!$O:$O,MATCH($E93,'Raw Data Input'!$D:$D,0)),0)</f>
        <v>42495592</v>
      </c>
      <c r="AE93" s="73">
        <f>IFERROR(INDEX('Raw Data Input'!$P:$P,MATCH($E93,'Raw Data Input'!$D:$D,0)),0)</f>
        <v>2581812</v>
      </c>
      <c r="AF93" s="73">
        <f>IFERROR(INDEX('Raw Data Input'!$Q:$Q,MATCH($E93,'Raw Data Input'!$D:$D,0)),0)</f>
        <v>26046393</v>
      </c>
      <c r="AG93" s="73">
        <f>IFERROR(INDEX('Raw Data Input'!$R:$R,MATCH($E93,'Raw Data Input'!$D:$D,0)),0)</f>
        <v>27949781</v>
      </c>
      <c r="AH93" s="73">
        <f>IFERROR(INDEX('Raw Data Input'!$S:$S,MATCH($E93,'Raw Data Input'!$D:$D,0)),0)</f>
        <v>69095649</v>
      </c>
      <c r="AI93" s="73">
        <f>IFERROR(INDEX('Raw Data Input'!$T:$T,MATCH($E93,'Raw Data Input'!$D:$D,0)),0)</f>
        <v>64387581</v>
      </c>
    </row>
    <row r="94" spans="1:35" ht="15" customHeight="1" x14ac:dyDescent="0.3">
      <c r="A94" s="77" t="s">
        <v>65</v>
      </c>
      <c r="B94" s="77" t="s">
        <v>66</v>
      </c>
      <c r="C94" s="78">
        <v>2021</v>
      </c>
      <c r="D94" s="79" t="str">
        <f t="shared" si="4"/>
        <v>DASPHARMA-2021</v>
      </c>
      <c r="E94" s="79" t="str">
        <f t="shared" si="5"/>
        <v>DASPHARMA-2020</v>
      </c>
      <c r="F94" s="80">
        <f>IFERROR(INDEX('Raw Data Input'!$F:$F,MATCH($D94,'Raw Data Input'!$D:$D,0)),0)</f>
        <v>74530831</v>
      </c>
      <c r="G94" s="80">
        <f>IFERROR(INDEX('Raw Data Input'!$G:$G,MATCH($D94,'Raw Data Input'!$D:$D,0)),0)</f>
        <v>-35543875</v>
      </c>
      <c r="H94" s="80">
        <f>IFERROR(INDEX('Raw Data Input'!$H:$H,MATCH($D94,'Raw Data Input'!$D:$D,0)),0)</f>
        <v>14782153</v>
      </c>
      <c r="I94" s="80">
        <f>IFERROR(INDEX('Raw Data Input'!$I:$I,MATCH($D94,'Raw Data Input'!$D:$D,0)),0)</f>
        <v>35861605</v>
      </c>
      <c r="J94" s="80">
        <f>IFERROR(INDEX('Raw Data Input'!$J:$J,MATCH($D94,'Raw Data Input'!$D:$D,0)),0)</f>
        <v>21211034</v>
      </c>
      <c r="K94" s="80">
        <f>IFERROR(INDEX('Raw Data Input'!$K:$K,MATCH($D94,'Raw Data Input'!$D:$D,0)),0)</f>
        <v>2416650</v>
      </c>
      <c r="L94" s="80">
        <f>IFERROR(INDEX('Raw Data Input'!$L:$L,MATCH($D94,'Raw Data Input'!$D:$D,0)),0)</f>
        <v>63567078</v>
      </c>
      <c r="M94" s="80">
        <f>IFERROR(INDEX('Raw Data Input'!$M:$M,MATCH($D94,'Raw Data Input'!$D:$D,0)),0)</f>
        <v>-33197332</v>
      </c>
      <c r="N94" s="80">
        <f>IFERROR(INDEX('Raw Data Input'!$N:$N,MATCH($D94,'Raw Data Input'!$D:$D,0)),0)</f>
        <v>2167643</v>
      </c>
      <c r="O94" s="80">
        <f>IFERROR(INDEX('Raw Data Input'!$O:$O,MATCH($D94,'Raw Data Input'!$D:$D,0)),0)</f>
        <v>4881672</v>
      </c>
      <c r="P94" s="80">
        <f>IFERROR(INDEX('Raw Data Input'!$P:$P,MATCH($D94,'Raw Data Input'!$D:$D,0)),0)</f>
        <v>276489</v>
      </c>
      <c r="Q94" s="80">
        <f>IFERROR(INDEX('Raw Data Input'!$Q:$Q,MATCH($D94,'Raw Data Input'!$D:$D,0)),0)</f>
        <v>32981425</v>
      </c>
      <c r="R94" s="80">
        <f>IFERROR(INDEX('Raw Data Input'!$R:$R,MATCH($D94,'Raw Data Input'!$D:$D,0)),0)</f>
        <v>13203189</v>
      </c>
      <c r="S94" s="80">
        <f>IFERROR(INDEX('Raw Data Input'!$S:$S,MATCH($D94,'Raw Data Input'!$D:$D,0)),0)</f>
        <v>51899767</v>
      </c>
      <c r="T94" s="80">
        <f>IFERROR(INDEX('Raw Data Input'!$T:$T,MATCH($D94,'Raw Data Input'!$D:$D,0)),0)</f>
        <v>11667311</v>
      </c>
      <c r="U94" s="80">
        <f>IFERROR(INDEX('Raw Data Input'!$F:$F,MATCH($E94,'Raw Data Input'!$D:$D,0)),0)</f>
        <v>65918628</v>
      </c>
      <c r="V94" s="80">
        <f>IFERROR(INDEX('Raw Data Input'!$G:$G,MATCH($E94,'Raw Data Input'!$D:$D,0)),0)</f>
        <v>-36631759</v>
      </c>
      <c r="W94" s="80">
        <f>IFERROR(INDEX('Raw Data Input'!$H:$H,MATCH($E94,'Raw Data Input'!$D:$D,0)),0)</f>
        <v>12978051</v>
      </c>
      <c r="X94" s="80">
        <f>IFERROR(INDEX('Raw Data Input'!$I:$I,MATCH($E94,'Raw Data Input'!$D:$D,0)),0)</f>
        <v>28262785</v>
      </c>
      <c r="Y94" s="80">
        <f>IFERROR(INDEX('Raw Data Input'!$J:$J,MATCH($E94,'Raw Data Input'!$D:$D,0)),0)</f>
        <v>21211854</v>
      </c>
      <c r="Z94" s="80">
        <f>IFERROR(INDEX('Raw Data Input'!$K:$K,MATCH($E94,'Raw Data Input'!$D:$D,0)),0)</f>
        <v>2416650</v>
      </c>
      <c r="AA94" s="80">
        <f>IFERROR(INDEX('Raw Data Input'!$L:$L,MATCH($E94,'Raw Data Input'!$D:$D,0)),0)</f>
        <v>54042877</v>
      </c>
      <c r="AB94" s="80">
        <f>IFERROR(INDEX('Raw Data Input'!$M:$M,MATCH($E94,'Raw Data Input'!$D:$D,0)),0)</f>
        <v>-31592320</v>
      </c>
      <c r="AC94" s="80">
        <f>IFERROR(INDEX('Raw Data Input'!$N:$N,MATCH($E94,'Raw Data Input'!$D:$D,0)),0)</f>
        <v>1924361</v>
      </c>
      <c r="AD94" s="80">
        <f>IFERROR(INDEX('Raw Data Input'!$O:$O,MATCH($E94,'Raw Data Input'!$D:$D,0)),0)</f>
        <v>-5158244</v>
      </c>
      <c r="AE94" s="80">
        <f>IFERROR(INDEX('Raw Data Input'!$P:$P,MATCH($E94,'Raw Data Input'!$D:$D,0)),0)</f>
        <v>2196318</v>
      </c>
      <c r="AF94" s="80">
        <f>IFERROR(INDEX('Raw Data Input'!$Q:$Q,MATCH($E94,'Raw Data Input'!$D:$D,0)),0)</f>
        <v>25549507</v>
      </c>
      <c r="AG94" s="80">
        <f>IFERROR(INDEX('Raw Data Input'!$R:$R,MATCH($E94,'Raw Data Input'!$D:$D,0)),0)</f>
        <v>14656190</v>
      </c>
      <c r="AH94" s="80">
        <f>IFERROR(INDEX('Raw Data Input'!$S:$S,MATCH($E94,'Raw Data Input'!$D:$D,0)),0)</f>
        <v>47257238</v>
      </c>
      <c r="AI94" s="80">
        <f>IFERROR(INDEX('Raw Data Input'!$T:$T,MATCH($E94,'Raw Data Input'!$D:$D,0)),0)</f>
        <v>6785639</v>
      </c>
    </row>
    <row r="95" spans="1:35" ht="15" customHeight="1" x14ac:dyDescent="0.3">
      <c r="A95" s="27" t="s">
        <v>65</v>
      </c>
      <c r="B95" s="27" t="s">
        <v>66</v>
      </c>
      <c r="C95" s="28">
        <v>2022</v>
      </c>
      <c r="D95" s="29" t="str">
        <f t="shared" si="4"/>
        <v>DASPHARMA-2022</v>
      </c>
      <c r="E95" s="29" t="str">
        <f t="shared" si="5"/>
        <v>DASPHARMA-2021</v>
      </c>
      <c r="F95" s="30">
        <f>IFERROR(INDEX('Raw Data Input'!$F:$F,MATCH($D95,'Raw Data Input'!$D:$D,0)),0)</f>
        <v>95792613</v>
      </c>
      <c r="G95" s="30">
        <f>IFERROR(INDEX('Raw Data Input'!$G:$G,MATCH($D95,'Raw Data Input'!$D:$D,0)),0)</f>
        <v>-45070953</v>
      </c>
      <c r="H95" s="30">
        <f>IFERROR(INDEX('Raw Data Input'!$H:$H,MATCH($D95,'Raw Data Input'!$D:$D,0)),0)</f>
        <v>14609803</v>
      </c>
      <c r="I95" s="30">
        <f>IFERROR(INDEX('Raw Data Input'!$I:$I,MATCH($D95,'Raw Data Input'!$D:$D,0)),0)</f>
        <v>42084059</v>
      </c>
      <c r="J95" s="30">
        <f>IFERROR(INDEX('Raw Data Input'!$J:$J,MATCH($D95,'Raw Data Input'!$D:$D,0)),0)</f>
        <v>25651135</v>
      </c>
      <c r="K95" s="30">
        <f>IFERROR(INDEX('Raw Data Input'!$K:$K,MATCH($D95,'Raw Data Input'!$D:$D,0)),0)</f>
        <v>2416650</v>
      </c>
      <c r="L95" s="30">
        <f>IFERROR(INDEX('Raw Data Input'!$L:$L,MATCH($D95,'Raw Data Input'!$D:$D,0)),0)</f>
        <v>75150272</v>
      </c>
      <c r="M95" s="30">
        <f>IFERROR(INDEX('Raw Data Input'!$M:$M,MATCH($D95,'Raw Data Input'!$D:$D,0)),0)</f>
        <v>-51166681</v>
      </c>
      <c r="N95" s="30">
        <f>IFERROR(INDEX('Raw Data Input'!$N:$N,MATCH($D95,'Raw Data Input'!$D:$D,0)),0)</f>
        <v>2432827</v>
      </c>
      <c r="O95" s="30">
        <f>IFERROR(INDEX('Raw Data Input'!$O:$O,MATCH($D95,'Raw Data Input'!$D:$D,0)),0)</f>
        <v>-3451029</v>
      </c>
      <c r="P95" s="30">
        <f>IFERROR(INDEX('Raw Data Input'!$P:$P,MATCH($D95,'Raw Data Input'!$D:$D,0)),0)</f>
        <v>7908599</v>
      </c>
      <c r="Q95" s="30">
        <f>IFERROR(INDEX('Raw Data Input'!$Q:$Q,MATCH($D95,'Raw Data Input'!$D:$D,0)),0)</f>
        <v>42711447</v>
      </c>
      <c r="R95" s="30">
        <f>IFERROR(INDEX('Raw Data Input'!$R:$R,MATCH($D95,'Raw Data Input'!$D:$D,0)),0)</f>
        <v>17176758</v>
      </c>
      <c r="S95" s="30">
        <f>IFERROR(INDEX('Raw Data Input'!$S:$S,MATCH($D95,'Raw Data Input'!$D:$D,0)),0)</f>
        <v>66933990</v>
      </c>
      <c r="T95" s="30">
        <f>IFERROR(INDEX('Raw Data Input'!$T:$T,MATCH($D95,'Raw Data Input'!$D:$D,0)),0)</f>
        <v>8216282</v>
      </c>
      <c r="U95" s="30">
        <f>IFERROR(INDEX('Raw Data Input'!$F:$F,MATCH($E95,'Raw Data Input'!$D:$D,0)),0)</f>
        <v>74530831</v>
      </c>
      <c r="V95" s="30">
        <f>IFERROR(INDEX('Raw Data Input'!$G:$G,MATCH($E95,'Raw Data Input'!$D:$D,0)),0)</f>
        <v>-35543875</v>
      </c>
      <c r="W95" s="30">
        <f>IFERROR(INDEX('Raw Data Input'!$H:$H,MATCH($E95,'Raw Data Input'!$D:$D,0)),0)</f>
        <v>14782153</v>
      </c>
      <c r="X95" s="30">
        <f>IFERROR(INDEX('Raw Data Input'!$I:$I,MATCH($E95,'Raw Data Input'!$D:$D,0)),0)</f>
        <v>35861605</v>
      </c>
      <c r="Y95" s="30">
        <f>IFERROR(INDEX('Raw Data Input'!$J:$J,MATCH($E95,'Raw Data Input'!$D:$D,0)),0)</f>
        <v>21211034</v>
      </c>
      <c r="Z95" s="30">
        <f>IFERROR(INDEX('Raw Data Input'!$K:$K,MATCH($E95,'Raw Data Input'!$D:$D,0)),0)</f>
        <v>2416650</v>
      </c>
      <c r="AA95" s="30">
        <f>IFERROR(INDEX('Raw Data Input'!$L:$L,MATCH($E95,'Raw Data Input'!$D:$D,0)),0)</f>
        <v>63567078</v>
      </c>
      <c r="AB95" s="30">
        <f>IFERROR(INDEX('Raw Data Input'!$M:$M,MATCH($E95,'Raw Data Input'!$D:$D,0)),0)</f>
        <v>-33197332</v>
      </c>
      <c r="AC95" s="30">
        <f>IFERROR(INDEX('Raw Data Input'!$N:$N,MATCH($E95,'Raw Data Input'!$D:$D,0)),0)</f>
        <v>2167643</v>
      </c>
      <c r="AD95" s="30">
        <f>IFERROR(INDEX('Raw Data Input'!$O:$O,MATCH($E95,'Raw Data Input'!$D:$D,0)),0)</f>
        <v>4881672</v>
      </c>
      <c r="AE95" s="30">
        <f>IFERROR(INDEX('Raw Data Input'!$P:$P,MATCH($E95,'Raw Data Input'!$D:$D,0)),0)</f>
        <v>276489</v>
      </c>
      <c r="AF95" s="30">
        <f>IFERROR(INDEX('Raw Data Input'!$Q:$Q,MATCH($E95,'Raw Data Input'!$D:$D,0)),0)</f>
        <v>32981425</v>
      </c>
      <c r="AG95" s="30">
        <f>IFERROR(INDEX('Raw Data Input'!$R:$R,MATCH($E95,'Raw Data Input'!$D:$D,0)),0)</f>
        <v>13203189</v>
      </c>
      <c r="AH95" s="30">
        <f>IFERROR(INDEX('Raw Data Input'!$S:$S,MATCH($E95,'Raw Data Input'!$D:$D,0)),0)</f>
        <v>51899767</v>
      </c>
      <c r="AI95" s="30">
        <f>IFERROR(INDEX('Raw Data Input'!$T:$T,MATCH($E95,'Raw Data Input'!$D:$D,0)),0)</f>
        <v>11667311</v>
      </c>
    </row>
    <row r="96" spans="1:35" ht="15" customHeight="1" thickBot="1" x14ac:dyDescent="0.35">
      <c r="A96" s="81" t="s">
        <v>65</v>
      </c>
      <c r="B96" s="81" t="s">
        <v>66</v>
      </c>
      <c r="C96" s="82">
        <v>2023</v>
      </c>
      <c r="D96" s="83" t="str">
        <f t="shared" si="4"/>
        <v>DASPHARMA-2023</v>
      </c>
      <c r="E96" s="83" t="str">
        <f t="shared" si="5"/>
        <v>DASPHARMA-2022</v>
      </c>
      <c r="F96" s="84">
        <f>IFERROR(INDEX('Raw Data Input'!$F:$F,MATCH($D96,'Raw Data Input'!$D:$D,0)),0)</f>
        <v>141003384</v>
      </c>
      <c r="G96" s="84">
        <f>IFERROR(INDEX('Raw Data Input'!$G:$G,MATCH($D96,'Raw Data Input'!$D:$D,0)),0)</f>
        <v>-63546084</v>
      </c>
      <c r="H96" s="84">
        <f>IFERROR(INDEX('Raw Data Input'!$H:$H,MATCH($D96,'Raw Data Input'!$D:$D,0)),0)</f>
        <v>14038862</v>
      </c>
      <c r="I96" s="84">
        <f>IFERROR(INDEX('Raw Data Input'!$I:$I,MATCH($D96,'Raw Data Input'!$D:$D,0)),0)</f>
        <v>51187402</v>
      </c>
      <c r="J96" s="84">
        <f>IFERROR(INDEX('Raw Data Input'!$J:$J,MATCH($D96,'Raw Data Input'!$D:$D,0)),0)</f>
        <v>25165512</v>
      </c>
      <c r="K96" s="84">
        <f>IFERROR(INDEX('Raw Data Input'!$K:$K,MATCH($D96,'Raw Data Input'!$D:$D,0)),0)</f>
        <v>0</v>
      </c>
      <c r="L96" s="84">
        <f>IFERROR(INDEX('Raw Data Input'!$L:$L,MATCH($D96,'Raw Data Input'!$D:$D,0)),0)</f>
        <v>78217554</v>
      </c>
      <c r="M96" s="84">
        <f>IFERROR(INDEX('Raw Data Input'!$M:$M,MATCH($D96,'Raw Data Input'!$D:$D,0)),0)</f>
        <v>-61111160</v>
      </c>
      <c r="N96" s="84">
        <f>IFERROR(INDEX('Raw Data Input'!$N:$N,MATCH($D96,'Raw Data Input'!$D:$D,0)),0)</f>
        <v>2613655</v>
      </c>
      <c r="O96" s="84">
        <f>IFERROR(INDEX('Raw Data Input'!$O:$O,MATCH($D96,'Raw Data Input'!$D:$D,0)),0)</f>
        <v>7553731</v>
      </c>
      <c r="P96" s="84">
        <f>IFERROR(INDEX('Raw Data Input'!$P:$P,MATCH($D96,'Raw Data Input'!$D:$D,0)),0)</f>
        <v>14092506</v>
      </c>
      <c r="Q96" s="84">
        <f>IFERROR(INDEX('Raw Data Input'!$Q:$Q,MATCH($D96,'Raw Data Input'!$D:$D,0)),0)</f>
        <v>42431143</v>
      </c>
      <c r="R96" s="84">
        <f>IFERROR(INDEX('Raw Data Input'!$R:$R,MATCH($D96,'Raw Data Input'!$D:$D,0)),0)</f>
        <v>10544326</v>
      </c>
      <c r="S96" s="84">
        <f>IFERROR(INDEX('Raw Data Input'!$S:$S,MATCH($D96,'Raw Data Input'!$D:$D,0)),0)</f>
        <v>61867528</v>
      </c>
      <c r="T96" s="84">
        <f>IFERROR(INDEX('Raw Data Input'!$T:$T,MATCH($D96,'Raw Data Input'!$D:$D,0)),0)</f>
        <v>16350026</v>
      </c>
      <c r="U96" s="84">
        <f>IFERROR(INDEX('Raw Data Input'!$F:$F,MATCH($E96,'Raw Data Input'!$D:$D,0)),0)</f>
        <v>95792613</v>
      </c>
      <c r="V96" s="84">
        <f>IFERROR(INDEX('Raw Data Input'!$G:$G,MATCH($E96,'Raw Data Input'!$D:$D,0)),0)</f>
        <v>-45070953</v>
      </c>
      <c r="W96" s="84">
        <f>IFERROR(INDEX('Raw Data Input'!$H:$H,MATCH($E96,'Raw Data Input'!$D:$D,0)),0)</f>
        <v>14609803</v>
      </c>
      <c r="X96" s="84">
        <f>IFERROR(INDEX('Raw Data Input'!$I:$I,MATCH($E96,'Raw Data Input'!$D:$D,0)),0)</f>
        <v>42084059</v>
      </c>
      <c r="Y96" s="84">
        <f>IFERROR(INDEX('Raw Data Input'!$J:$J,MATCH($E96,'Raw Data Input'!$D:$D,0)),0)</f>
        <v>25651135</v>
      </c>
      <c r="Z96" s="84">
        <f>IFERROR(INDEX('Raw Data Input'!$K:$K,MATCH($E96,'Raw Data Input'!$D:$D,0)),0)</f>
        <v>2416650</v>
      </c>
      <c r="AA96" s="84">
        <f>IFERROR(INDEX('Raw Data Input'!$L:$L,MATCH($E96,'Raw Data Input'!$D:$D,0)),0)</f>
        <v>75150272</v>
      </c>
      <c r="AB96" s="84">
        <f>IFERROR(INDEX('Raw Data Input'!$M:$M,MATCH($E96,'Raw Data Input'!$D:$D,0)),0)</f>
        <v>-51166681</v>
      </c>
      <c r="AC96" s="84">
        <f>IFERROR(INDEX('Raw Data Input'!$N:$N,MATCH($E96,'Raw Data Input'!$D:$D,0)),0)</f>
        <v>2432827</v>
      </c>
      <c r="AD96" s="84">
        <f>IFERROR(INDEX('Raw Data Input'!$O:$O,MATCH($E96,'Raw Data Input'!$D:$D,0)),0)</f>
        <v>-3451029</v>
      </c>
      <c r="AE96" s="84">
        <f>IFERROR(INDEX('Raw Data Input'!$P:$P,MATCH($E96,'Raw Data Input'!$D:$D,0)),0)</f>
        <v>7908599</v>
      </c>
      <c r="AF96" s="84">
        <f>IFERROR(INDEX('Raw Data Input'!$Q:$Q,MATCH($E96,'Raw Data Input'!$D:$D,0)),0)</f>
        <v>42711447</v>
      </c>
      <c r="AG96" s="84">
        <f>IFERROR(INDEX('Raw Data Input'!$R:$R,MATCH($E96,'Raw Data Input'!$D:$D,0)),0)</f>
        <v>17176758</v>
      </c>
      <c r="AH96" s="84">
        <f>IFERROR(INDEX('Raw Data Input'!$S:$S,MATCH($E96,'Raw Data Input'!$D:$D,0)),0)</f>
        <v>66933990</v>
      </c>
      <c r="AI96" s="84">
        <f>IFERROR(INDEX('Raw Data Input'!$T:$T,MATCH($E96,'Raw Data Input'!$D:$D,0)),0)</f>
        <v>8216282</v>
      </c>
    </row>
    <row r="97" spans="1:35" ht="15" customHeight="1" x14ac:dyDescent="0.3">
      <c r="A97" s="66" t="s">
        <v>70</v>
      </c>
      <c r="B97" s="66" t="s">
        <v>71</v>
      </c>
      <c r="C97" s="67">
        <v>2019</v>
      </c>
      <c r="D97" s="68" t="str">
        <f t="shared" si="4"/>
        <v>SWL-2019</v>
      </c>
      <c r="E97" s="68" t="str">
        <f t="shared" si="5"/>
        <v>SWL-2018</v>
      </c>
      <c r="F97" s="69">
        <f>IFERROR(INDEX('Raw Data Input'!$F:$F,MATCH($D97,'Raw Data Input'!$D:$D,0)),0)</f>
        <v>454180</v>
      </c>
      <c r="G97" s="69">
        <f>IFERROR(INDEX('Raw Data Input'!$G:$G,MATCH($D97,'Raw Data Input'!$D:$D,0)),0)</f>
        <v>-424377</v>
      </c>
      <c r="H97" s="69">
        <f>IFERROR(INDEX('Raw Data Input'!$H:$H,MATCH($D97,'Raw Data Input'!$D:$D,0)),0)</f>
        <v>4124</v>
      </c>
      <c r="I97" s="69">
        <f>IFERROR(INDEX('Raw Data Input'!$I:$I,MATCH($D97,'Raw Data Input'!$D:$D,0)),0)</f>
        <v>545971</v>
      </c>
      <c r="J97" s="69">
        <f>IFERROR(INDEX('Raw Data Input'!$J:$J,MATCH($D97,'Raw Data Input'!$D:$D,0)),0)</f>
        <v>3025809</v>
      </c>
      <c r="K97" s="69">
        <f>IFERROR(INDEX('Raw Data Input'!$K:$K,MATCH($D97,'Raw Data Input'!$D:$D,0)),0)</f>
        <v>0</v>
      </c>
      <c r="L97" s="69">
        <f>IFERROR(INDEX('Raw Data Input'!$L:$L,MATCH($D97,'Raw Data Input'!$D:$D,0)),0)</f>
        <v>3914988</v>
      </c>
      <c r="M97" s="69">
        <f>IFERROR(INDEX('Raw Data Input'!$M:$M,MATCH($D97,'Raw Data Input'!$D:$D,0)),0)</f>
        <v>-813627</v>
      </c>
      <c r="N97" s="69">
        <f>IFERROR(INDEX('Raw Data Input'!$N:$N,MATCH($D97,'Raw Data Input'!$D:$D,0)),0)</f>
        <v>378867</v>
      </c>
      <c r="O97" s="69">
        <f>IFERROR(INDEX('Raw Data Input'!$O:$O,MATCH($D97,'Raw Data Input'!$D:$D,0)),0)</f>
        <v>-1265083</v>
      </c>
      <c r="P97" s="69">
        <f>IFERROR(INDEX('Raw Data Input'!$P:$P,MATCH($D97,'Raw Data Input'!$D:$D,0)),0)</f>
        <v>-478025</v>
      </c>
      <c r="Q97" s="69">
        <f>IFERROR(INDEX('Raw Data Input'!$Q:$Q,MATCH($D97,'Raw Data Input'!$D:$D,0)),0)</f>
        <v>4635169</v>
      </c>
      <c r="R97" s="69">
        <f>IFERROR(INDEX('Raw Data Input'!$R:$R,MATCH($D97,'Raw Data Input'!$D:$D,0)),0)</f>
        <v>0</v>
      </c>
      <c r="S97" s="69">
        <f>IFERROR(INDEX('Raw Data Input'!$S:$S,MATCH($D97,'Raw Data Input'!$D:$D,0)),0)</f>
        <v>4823278</v>
      </c>
      <c r="T97" s="69">
        <f>IFERROR(INDEX('Raw Data Input'!$T:$T,MATCH($D97,'Raw Data Input'!$D:$D,0)),0)</f>
        <v>-908290</v>
      </c>
      <c r="U97" s="69">
        <f>IFERROR(INDEX('Raw Data Input'!$F:$F,MATCH($E97,'Raw Data Input'!$D:$D,0)),0)</f>
        <v>1052688</v>
      </c>
      <c r="V97" s="69">
        <f>IFERROR(INDEX('Raw Data Input'!$G:$G,MATCH($E97,'Raw Data Input'!$D:$D,0)),0)</f>
        <v>-593129</v>
      </c>
      <c r="W97" s="69">
        <f>IFERROR(INDEX('Raw Data Input'!$H:$H,MATCH($E97,'Raw Data Input'!$D:$D,0)),0)</f>
        <v>5286</v>
      </c>
      <c r="X97" s="69">
        <f>IFERROR(INDEX('Raw Data Input'!$I:$I,MATCH($E97,'Raw Data Input'!$D:$D,0)),0)</f>
        <v>600588</v>
      </c>
      <c r="Y97" s="69">
        <f>IFERROR(INDEX('Raw Data Input'!$J:$J,MATCH($E97,'Raw Data Input'!$D:$D,0)),0)</f>
        <v>3290274</v>
      </c>
      <c r="Z97" s="69">
        <f>IFERROR(INDEX('Raw Data Input'!$K:$K,MATCH($E97,'Raw Data Input'!$D:$D,0)),0)</f>
        <v>0</v>
      </c>
      <c r="AA97" s="69">
        <f>IFERROR(INDEX('Raw Data Input'!$L:$L,MATCH($E97,'Raw Data Input'!$D:$D,0)),0)</f>
        <v>4263538</v>
      </c>
      <c r="AB97" s="69">
        <f>IFERROR(INDEX('Raw Data Input'!$M:$M,MATCH($E97,'Raw Data Input'!$D:$D,0)),0)</f>
        <v>-1286415</v>
      </c>
      <c r="AC97" s="69">
        <f>IFERROR(INDEX('Raw Data Input'!$N:$N,MATCH($E97,'Raw Data Input'!$D:$D,0)),0)</f>
        <v>467428</v>
      </c>
      <c r="AD97" s="69">
        <f>IFERROR(INDEX('Raw Data Input'!$O:$O,MATCH($E97,'Raw Data Input'!$D:$D,0)),0)</f>
        <v>-1471127</v>
      </c>
      <c r="AE97" s="69">
        <f>IFERROR(INDEX('Raw Data Input'!$P:$P,MATCH($E97,'Raw Data Input'!$D:$D,0)),0)</f>
        <v>-786252</v>
      </c>
      <c r="AF97" s="69">
        <f>IFERROR(INDEX('Raw Data Input'!$Q:$Q,MATCH($E97,'Raw Data Input'!$D:$D,0)),0)</f>
        <v>3718636</v>
      </c>
      <c r="AG97" s="69">
        <f>IFERROR(INDEX('Raw Data Input'!$R:$R,MATCH($E97,'Raw Data Input'!$D:$D,0)),0)</f>
        <v>0</v>
      </c>
      <c r="AH97" s="69">
        <f>IFERROR(INDEX('Raw Data Input'!$S:$S,MATCH($E97,'Raw Data Input'!$D:$D,0)),0)</f>
        <v>3906745</v>
      </c>
      <c r="AI97" s="69">
        <f>IFERROR(INDEX('Raw Data Input'!$T:$T,MATCH($E97,'Raw Data Input'!$D:$D,0)),0)</f>
        <v>356793</v>
      </c>
    </row>
    <row r="98" spans="1:35" ht="15" customHeight="1" x14ac:dyDescent="0.3">
      <c r="A98" s="27" t="s">
        <v>70</v>
      </c>
      <c r="B98" s="27" t="s">
        <v>71</v>
      </c>
      <c r="C98" s="28">
        <v>2020</v>
      </c>
      <c r="D98" s="29" t="str">
        <f t="shared" si="4"/>
        <v>SWL-2020</v>
      </c>
      <c r="E98" s="29" t="str">
        <f t="shared" si="5"/>
        <v>SWL-2019</v>
      </c>
      <c r="F98" s="30">
        <f>IFERROR(INDEX('Raw Data Input'!$F:$F,MATCH($D98,'Raw Data Input'!$D:$D,0)),0)</f>
        <v>0</v>
      </c>
      <c r="G98" s="30">
        <f>IFERROR(INDEX('Raw Data Input'!$G:$G,MATCH($D98,'Raw Data Input'!$D:$D,0)),0)</f>
        <v>-506148</v>
      </c>
      <c r="H98" s="30">
        <f>IFERROR(INDEX('Raw Data Input'!$H:$H,MATCH($D98,'Raw Data Input'!$D:$D,0)),0)</f>
        <v>4124</v>
      </c>
      <c r="I98" s="30">
        <f>IFERROR(INDEX('Raw Data Input'!$I:$I,MATCH($D98,'Raw Data Input'!$D:$D,0)),0)</f>
        <v>397150</v>
      </c>
      <c r="J98" s="30">
        <f>IFERROR(INDEX('Raw Data Input'!$J:$J,MATCH($D98,'Raw Data Input'!$D:$D,0)),0)</f>
        <v>2758815</v>
      </c>
      <c r="K98" s="30">
        <f>IFERROR(INDEX('Raw Data Input'!$K:$K,MATCH($D98,'Raw Data Input'!$D:$D,0)),0)</f>
        <v>0</v>
      </c>
      <c r="L98" s="30">
        <f>IFERROR(INDEX('Raw Data Input'!$L:$L,MATCH($D98,'Raw Data Input'!$D:$D,0)),0)</f>
        <v>3396210</v>
      </c>
      <c r="M98" s="30">
        <f>IFERROR(INDEX('Raw Data Input'!$M:$M,MATCH($D98,'Raw Data Input'!$D:$D,0)),0)</f>
        <v>-27516</v>
      </c>
      <c r="N98" s="30">
        <f>IFERROR(INDEX('Raw Data Input'!$N:$N,MATCH($D98,'Raw Data Input'!$D:$D,0)),0)</f>
        <v>369956</v>
      </c>
      <c r="O98" s="30">
        <f>IFERROR(INDEX('Raw Data Input'!$O:$O,MATCH($D98,'Raw Data Input'!$D:$D,0)),0)</f>
        <v>-533664</v>
      </c>
      <c r="P98" s="30">
        <f>IFERROR(INDEX('Raw Data Input'!$P:$P,MATCH($D98,'Raw Data Input'!$D:$D,0)),0)</f>
        <v>-592</v>
      </c>
      <c r="Q98" s="30">
        <f>IFERROR(INDEX('Raw Data Input'!$Q:$Q,MATCH($D98,'Raw Data Input'!$D:$D,0)),0)</f>
        <v>4650055</v>
      </c>
      <c r="R98" s="30">
        <f>IFERROR(INDEX('Raw Data Input'!$R:$R,MATCH($D98,'Raw Data Input'!$D:$D,0)),0)</f>
        <v>0</v>
      </c>
      <c r="S98" s="30">
        <f>IFERROR(INDEX('Raw Data Input'!$S:$S,MATCH($D98,'Raw Data Input'!$D:$D,0)),0)</f>
        <v>4838164</v>
      </c>
      <c r="T98" s="30">
        <f>IFERROR(INDEX('Raw Data Input'!$T:$T,MATCH($D98,'Raw Data Input'!$D:$D,0)),0)</f>
        <v>-1441954</v>
      </c>
      <c r="U98" s="30">
        <f>IFERROR(INDEX('Raw Data Input'!$F:$F,MATCH($E98,'Raw Data Input'!$D:$D,0)),0)</f>
        <v>454180</v>
      </c>
      <c r="V98" s="30">
        <f>IFERROR(INDEX('Raw Data Input'!$G:$G,MATCH($E98,'Raw Data Input'!$D:$D,0)),0)</f>
        <v>-424377</v>
      </c>
      <c r="W98" s="30">
        <f>IFERROR(INDEX('Raw Data Input'!$H:$H,MATCH($E98,'Raw Data Input'!$D:$D,0)),0)</f>
        <v>4124</v>
      </c>
      <c r="X98" s="30">
        <f>IFERROR(INDEX('Raw Data Input'!$I:$I,MATCH($E98,'Raw Data Input'!$D:$D,0)),0)</f>
        <v>545971</v>
      </c>
      <c r="Y98" s="30">
        <f>IFERROR(INDEX('Raw Data Input'!$J:$J,MATCH($E98,'Raw Data Input'!$D:$D,0)),0)</f>
        <v>3025809</v>
      </c>
      <c r="Z98" s="30">
        <f>IFERROR(INDEX('Raw Data Input'!$K:$K,MATCH($E98,'Raw Data Input'!$D:$D,0)),0)</f>
        <v>0</v>
      </c>
      <c r="AA98" s="30">
        <f>IFERROR(INDEX('Raw Data Input'!$L:$L,MATCH($E98,'Raw Data Input'!$D:$D,0)),0)</f>
        <v>3914988</v>
      </c>
      <c r="AB98" s="30">
        <f>IFERROR(INDEX('Raw Data Input'!$M:$M,MATCH($E98,'Raw Data Input'!$D:$D,0)),0)</f>
        <v>-813627</v>
      </c>
      <c r="AC98" s="30">
        <f>IFERROR(INDEX('Raw Data Input'!$N:$N,MATCH($E98,'Raw Data Input'!$D:$D,0)),0)</f>
        <v>378867</v>
      </c>
      <c r="AD98" s="30">
        <f>IFERROR(INDEX('Raw Data Input'!$O:$O,MATCH($E98,'Raw Data Input'!$D:$D,0)),0)</f>
        <v>-1265083</v>
      </c>
      <c r="AE98" s="30">
        <f>IFERROR(INDEX('Raw Data Input'!$P:$P,MATCH($E98,'Raw Data Input'!$D:$D,0)),0)</f>
        <v>-478025</v>
      </c>
      <c r="AF98" s="30">
        <f>IFERROR(INDEX('Raw Data Input'!$Q:$Q,MATCH($E98,'Raw Data Input'!$D:$D,0)),0)</f>
        <v>4635169</v>
      </c>
      <c r="AG98" s="30">
        <f>IFERROR(INDEX('Raw Data Input'!$R:$R,MATCH($E98,'Raw Data Input'!$D:$D,0)),0)</f>
        <v>0</v>
      </c>
      <c r="AH98" s="30">
        <f>IFERROR(INDEX('Raw Data Input'!$S:$S,MATCH($E98,'Raw Data Input'!$D:$D,0)),0)</f>
        <v>4823278</v>
      </c>
      <c r="AI98" s="30">
        <f>IFERROR(INDEX('Raw Data Input'!$T:$T,MATCH($E98,'Raw Data Input'!$D:$D,0)),0)</f>
        <v>-908290</v>
      </c>
    </row>
  </sheetData>
  <mergeCells count="2">
    <mergeCell ref="A2:AI2"/>
    <mergeCell ref="A1:AI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H18" sqref="H18"/>
    </sheetView>
  </sheetViews>
  <sheetFormatPr defaultColWidth="8.6640625" defaultRowHeight="14.4" x14ac:dyDescent="0.3"/>
  <cols>
    <col min="1" max="1" width="10" style="1" customWidth="1"/>
    <col min="2" max="2" width="28" style="1" customWidth="1"/>
    <col min="3" max="3" width="8" style="1" customWidth="1"/>
    <col min="4" max="11" width="9" style="1" customWidth="1"/>
    <col min="12" max="12" width="10" style="1" customWidth="1"/>
    <col min="13" max="13" width="18" style="1" customWidth="1"/>
    <col min="14" max="14" width="9" style="1" customWidth="1"/>
    <col min="15" max="17" width="10" style="1" customWidth="1"/>
  </cols>
  <sheetData>
    <row r="1" spans="1:17" ht="15.75" customHeight="1" x14ac:dyDescent="0.3">
      <c r="A1" s="111" t="s">
        <v>162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</row>
    <row r="2" spans="1:17" ht="15" customHeight="1" x14ac:dyDescent="0.3">
      <c r="A2" s="109" t="s">
        <v>163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</row>
    <row r="4" spans="1:17" ht="30" customHeight="1" x14ac:dyDescent="0.3">
      <c r="A4" s="3" t="s">
        <v>2</v>
      </c>
      <c r="B4" s="3" t="s">
        <v>3</v>
      </c>
      <c r="C4" s="3" t="s">
        <v>106</v>
      </c>
      <c r="D4" s="3" t="s">
        <v>164</v>
      </c>
      <c r="E4" s="3" t="s">
        <v>165</v>
      </c>
      <c r="F4" s="3" t="s">
        <v>166</v>
      </c>
      <c r="G4" s="3" t="s">
        <v>167</v>
      </c>
      <c r="H4" s="3" t="s">
        <v>168</v>
      </c>
      <c r="I4" s="3" t="s">
        <v>169</v>
      </c>
      <c r="J4" s="3" t="s">
        <v>170</v>
      </c>
      <c r="K4" s="3" t="s">
        <v>171</v>
      </c>
      <c r="L4" s="3" t="s">
        <v>172</v>
      </c>
      <c r="M4" s="3" t="s">
        <v>173</v>
      </c>
      <c r="N4" s="3" t="s">
        <v>174</v>
      </c>
      <c r="O4" s="3" t="s">
        <v>175</v>
      </c>
      <c r="P4" s="3" t="s">
        <v>176</v>
      </c>
      <c r="Q4" s="3" t="s">
        <v>177</v>
      </c>
    </row>
    <row r="5" spans="1:17" ht="15" customHeight="1" x14ac:dyDescent="0.3">
      <c r="A5" s="27" t="s">
        <v>10</v>
      </c>
      <c r="B5" s="27" t="s">
        <v>11</v>
      </c>
      <c r="C5" s="28">
        <v>2019</v>
      </c>
      <c r="D5" s="31">
        <f>IFERROR(IF(Lookups!U5=0,1,IF(Lookups!W5=0,1,(Lookups!H5/Lookups!F5)/(Lookups!W5/Lookups!U5))),1)</f>
        <v>1.0778753374443892</v>
      </c>
      <c r="E5" s="31">
        <f>IFERROR(IF(Lookups!U5=0,1,IF(Lookups!F5=0,1,((Lookups!U5-Lookups!V5)/Lookups!U5)/((Lookups!F5-Lookups!G5)/Lookups!F5))),1)</f>
        <v>1.0453476057993538</v>
      </c>
      <c r="F5" s="31">
        <f>IFERROR(IF(Lookups!AA5=0,1,IF((1-(Lookups!X5+Lookups!Y5+Lookups!Z5)/Lookups!AA5)=0,1,(1-(Lookups!I5+Lookups!J5+Lookups!K5)/Lookups!L5)/(1-(Lookups!X5+Lookups!Y5+Lookups!Z5)/Lookups!AA5))),1)</f>
        <v>0</v>
      </c>
      <c r="G5" s="31">
        <f>IFERROR(IF(Lookups!U5=0,1,Lookups!F5/Lookups!U5),1)</f>
        <v>1.2319865589247139</v>
      </c>
      <c r="H5" s="31">
        <f>IFERROR(IF((Lookups!Y5+Lookups!AC5)=0,1,IF((Lookups!J5+Lookups!N5)=0,1,(Lookups!AC5/(Lookups!Y5+Lookups!AC5))/(Lookups!N5/(Lookups!J5+Lookups!N5)))),1)</f>
        <v>0.73556272990703631</v>
      </c>
      <c r="I5" s="31">
        <f>IFERROR(IF(Lookups!U5=0,1,IF(Lookups!AB5=0,1,(Lookups!M5/Lookups!F5)/(Lookups!AB5/Lookups!U5))),1)</f>
        <v>0.70825531882969028</v>
      </c>
      <c r="J5" s="31">
        <f>IFERROR(IF(Lookups!L5=0,1,(Lookups!O5-Lookups!P5)/Lookups!L5),1)</f>
        <v>9.4841429588898074E-2</v>
      </c>
      <c r="K5" s="31">
        <f>IFERROR(IF(Lookups!AA5=0,1,IF((Lookups!AF5+Lookups!AG5)=0,1,((Lookups!Q5+Lookups!R5)/Lookups!L5)/((Lookups!AF5+Lookups!AG5)/Lookups!AA5))),1)</f>
        <v>1.2246165598665293</v>
      </c>
      <c r="L5" s="32">
        <f t="shared" ref="L5:L36" si="0">IFERROR(-4.84+0.92*D5+0.528*E5+0.404*F5+0.892*G5+0.115*H5-0.172*I5+4.679*J5-0.327*K5,"")</f>
        <v>-2.1913959100575569</v>
      </c>
      <c r="M5" s="29" t="str">
        <f t="shared" ref="M5:M36" si="1">IF(L5="","",IF(L5&gt;-2.22,"Likely Manipulator","Non-Manipulator"))</f>
        <v>Likely Manipulator</v>
      </c>
      <c r="N5" s="33">
        <f>IFERROR(Lookups!O5/Lookups!L5,"")</f>
        <v>0.10705106369801505</v>
      </c>
      <c r="O5" s="34">
        <f>IFERROR(Lookups!I5/Lookups!Q5,"")</f>
        <v>0.12563793203564033</v>
      </c>
      <c r="P5" s="34">
        <f>IFERROR(Lookups!S5/Lookups!T5,"")</f>
        <v>10.45025833248911</v>
      </c>
      <c r="Q5" s="33">
        <f>IFERROR((Lookups!L5-Lookups!AA5)/Lookups!AA5,"")</f>
        <v>-1.7737569144798876E-2</v>
      </c>
    </row>
    <row r="6" spans="1:17" ht="15" customHeight="1" x14ac:dyDescent="0.3">
      <c r="A6" s="27" t="s">
        <v>10</v>
      </c>
      <c r="B6" s="27" t="s">
        <v>11</v>
      </c>
      <c r="C6" s="28">
        <v>2020</v>
      </c>
      <c r="D6" s="31">
        <f>IFERROR(IF(Lookups!U6=0,1,IF(Lookups!W6=0,1,(Lookups!H6/Lookups!F6)/(Lookups!W6/Lookups!U6))),1)</f>
        <v>0.60583175919145571</v>
      </c>
      <c r="E6" s="31">
        <f>IFERROR(IF(Lookups!U6=0,1,IF(Lookups!F6=0,1,((Lookups!U6-Lookups!V6)/Lookups!U6)/((Lookups!F6-Lookups!G6)/Lookups!F6))),1)</f>
        <v>0.96564731855833563</v>
      </c>
      <c r="F6" s="31">
        <f>IFERROR(IF(Lookups!AA6=0,1,IF((1-(Lookups!X6+Lookups!Y6+Lookups!Z6)/Lookups!AA6)=0,1,(1-(Lookups!I6+Lookups!J6+Lookups!K6)/Lookups!L6)/(1-(Lookups!X6+Lookups!Y6+Lookups!Z6)/Lookups!AA6))),1)</f>
        <v>1</v>
      </c>
      <c r="G6" s="31">
        <f>IFERROR(IF(Lookups!U6=0,1,Lookups!F6/Lookups!U6),1)</f>
        <v>0.89586066265764419</v>
      </c>
      <c r="H6" s="31">
        <f>IFERROR(IF((Lookups!Y6+Lookups!AC6)=0,1,IF((Lookups!J6+Lookups!N6)=0,1,(Lookups!AC6/(Lookups!Y6+Lookups!AC6))/(Lookups!N6/(Lookups!J6+Lookups!N6)))),1)</f>
        <v>1.0101743017292548</v>
      </c>
      <c r="I6" s="31">
        <f>IFERROR(IF(Lookups!U6=0,1,IF(Lookups!AB6=0,1,(Lookups!M6/Lookups!F6)/(Lookups!AB6/Lookups!U6))),1)</f>
        <v>0.88351811974778605</v>
      </c>
      <c r="J6" s="31">
        <f>IFERROR(IF(Lookups!L6=0,1,(Lookups!O6-Lookups!P6)/Lookups!L6),1)</f>
        <v>-0.13444878782532799</v>
      </c>
      <c r="K6" s="31">
        <f>IFERROR(IF(Lookups!AA6=0,1,IF((Lookups!AF6+Lookups!AG6)=0,1,((Lookups!Q6+Lookups!R6)/Lookups!L6)/((Lookups!AF6+Lookups!AG6)/Lookups!AA6))),1)</f>
        <v>1.2257943830792954</v>
      </c>
      <c r="L6" s="32">
        <f t="shared" si="0"/>
        <v>-3.6353809996538349</v>
      </c>
      <c r="M6" s="29" t="str">
        <f t="shared" si="1"/>
        <v>Non-Manipulator</v>
      </c>
      <c r="N6" s="33">
        <f>IFERROR(Lookups!O6/Lookups!L6,"")</f>
        <v>-0.15689096463291211</v>
      </c>
      <c r="O6" s="34">
        <f>IFERROR(Lookups!I6/Lookups!Q6,"")</f>
        <v>8.3861773348947177E-2</v>
      </c>
      <c r="P6" s="34">
        <f>IFERROR(Lookups!S6/Lookups!T6,"")</f>
        <v>-15.669890349383641</v>
      </c>
      <c r="Q6" s="33">
        <f>IFERROR((Lookups!L6-Lookups!AA6)/Lookups!AA6,"")</f>
        <v>-4.7126533392906914E-2</v>
      </c>
    </row>
    <row r="7" spans="1:17" ht="15" customHeight="1" x14ac:dyDescent="0.3">
      <c r="A7" s="27" t="s">
        <v>10</v>
      </c>
      <c r="B7" s="27" t="s">
        <v>11</v>
      </c>
      <c r="C7" s="28">
        <v>2021</v>
      </c>
      <c r="D7" s="31">
        <f>IFERROR(IF(Lookups!U7=0,1,IF(Lookups!W7=0,1,(Lookups!H7/Lookups!F7)/(Lookups!W7/Lookups!U7))),1)</f>
        <v>1.1163652270959792</v>
      </c>
      <c r="E7" s="31">
        <f>IFERROR(IF(Lookups!U7=0,1,IF(Lookups!F7=0,1,((Lookups!U7-Lookups!V7)/Lookups!U7)/((Lookups!F7-Lookups!G7)/Lookups!F7))),1)</f>
        <v>0.9676360256073987</v>
      </c>
      <c r="F7" s="31">
        <f>IFERROR(IF(Lookups!AA7=0,1,IF((1-(Lookups!X7+Lookups!Y7+Lookups!Z7)/Lookups!AA7)=0,1,(1-(Lookups!I7+Lookups!J7+Lookups!K7)/Lookups!L7)/(1-(Lookups!X7+Lookups!Y7+Lookups!Z7)/Lookups!AA7))),1)</f>
        <v>1</v>
      </c>
      <c r="G7" s="31">
        <f>IFERROR(IF(Lookups!U7=0,1,Lookups!F7/Lookups!U7),1)</f>
        <v>1.4354621239579557</v>
      </c>
      <c r="H7" s="31">
        <f>IFERROR(IF((Lookups!Y7+Lookups!AC7)=0,1,IF((Lookups!J7+Lookups!N7)=0,1,(Lookups!AC7/(Lookups!Y7+Lookups!AC7))/(Lookups!N7/(Lookups!J7+Lookups!N7)))),1)</f>
        <v>0.7617337914804243</v>
      </c>
      <c r="I7" s="31">
        <f>IFERROR(IF(Lookups!U7=0,1,IF(Lookups!AB7=0,1,(Lookups!M7/Lookups!F7)/(Lookups!AB7/Lookups!U7))),1)</f>
        <v>1.1091851406176156</v>
      </c>
      <c r="J7" s="31">
        <f>IFERROR(IF(Lookups!L7=0,1,(Lookups!O7-Lookups!P7)/Lookups!L7),1)</f>
        <v>-0.16438234322453854</v>
      </c>
      <c r="K7" s="31">
        <f>IFERROR(IF(Lookups!AA7=0,1,IF((Lookups!AF7+Lookups!AG7)=0,1,((Lookups!Q7+Lookups!R7)/Lookups!L7)/((Lookups!AF7+Lookups!AG7)/Lookups!AA7))),1)</f>
        <v>0.95380837600466606</v>
      </c>
      <c r="L7" s="32">
        <f t="shared" si="0"/>
        <v>-2.8018207360476191</v>
      </c>
      <c r="M7" s="29" t="str">
        <f t="shared" si="1"/>
        <v>Non-Manipulator</v>
      </c>
      <c r="N7" s="33">
        <f>IFERROR(Lookups!O7/Lookups!L7,"")</f>
        <v>-0.278502511626331</v>
      </c>
      <c r="O7" s="34">
        <f>IFERROR(Lookups!I7/Lookups!Q7,"")</f>
        <v>7.5426240681351078E-2</v>
      </c>
      <c r="P7" s="34">
        <f>IFERROR(Lookups!S7/Lookups!T7,"")</f>
        <v>4.5578258515571664</v>
      </c>
      <c r="Q7" s="33">
        <f>IFERROR((Lookups!L7-Lookups!AA7)/Lookups!AA7,"")</f>
        <v>9.611974113037261E-2</v>
      </c>
    </row>
    <row r="8" spans="1:17" ht="15" customHeight="1" x14ac:dyDescent="0.3">
      <c r="A8" s="27" t="s">
        <v>10</v>
      </c>
      <c r="B8" s="27" t="s">
        <v>11</v>
      </c>
      <c r="C8" s="28">
        <v>2022</v>
      </c>
      <c r="D8" s="31">
        <f>IFERROR(IF(Lookups!U8=0,1,IF(Lookups!W8=0,1,(Lookups!H8/Lookups!F8)/(Lookups!W8/Lookups!U8))),1)</f>
        <v>5.0162132007842439</v>
      </c>
      <c r="E8" s="31">
        <f>IFERROR(IF(Lookups!U8=0,1,IF(Lookups!F8=0,1,((Lookups!U8-Lookups!V8)/Lookups!U8)/((Lookups!F8-Lookups!G8)/Lookups!F8))),1)</f>
        <v>0.78177170458906331</v>
      </c>
      <c r="F8" s="31">
        <f>IFERROR(IF(Lookups!AA8=0,1,IF((1-(Lookups!X8+Lookups!Y8+Lookups!Z8)/Lookups!AA8)=0,1,(1-(Lookups!I8+Lookups!J8+Lookups!K8)/Lookups!L8)/(1-(Lookups!X8+Lookups!Y8+Lookups!Z8)/Lookups!AA8))),1)</f>
        <v>1.0542511960074155</v>
      </c>
      <c r="G8" s="31">
        <f>IFERROR(IF(Lookups!U8=0,1,Lookups!F8/Lookups!U8),1)</f>
        <v>0.33775035097110423</v>
      </c>
      <c r="H8" s="31">
        <f>IFERROR(IF((Lookups!Y8+Lookups!AC8)=0,1,IF((Lookups!J8+Lookups!N8)=0,1,(Lookups!AC8/(Lookups!Y8+Lookups!AC8))/(Lookups!N8/(Lookups!J8+Lookups!N8)))),1)</f>
        <v>1.1927053092779774</v>
      </c>
      <c r="I8" s="31">
        <f>IFERROR(IF(Lookups!U8=0,1,IF(Lookups!AB8=0,1,(Lookups!M8/Lookups!F8)/(Lookups!AB8/Lookups!U8))),1)</f>
        <v>2.7148398457996952</v>
      </c>
      <c r="J8" s="31">
        <f>IFERROR(IF(Lookups!L8=0,1,(Lookups!O8-Lookups!P8)/Lookups!L8),1)</f>
        <v>-0.32770188062710742</v>
      </c>
      <c r="K8" s="31">
        <f>IFERROR(IF(Lookups!AA8=0,1,IF((Lookups!AF8+Lookups!AG8)=0,1,((Lookups!Q8+Lookups!R8)/Lookups!L8)/((Lookups!AF8+Lookups!AG8)/Lookups!AA8))),1)</f>
        <v>0.39183501800215725</v>
      </c>
      <c r="L8" s="32">
        <f t="shared" si="0"/>
        <v>-1.0763560922537698</v>
      </c>
      <c r="M8" s="29" t="str">
        <f t="shared" si="1"/>
        <v>Likely Manipulator</v>
      </c>
      <c r="N8" s="33">
        <f>IFERROR(Lookups!O8/Lookups!L8,"")</f>
        <v>-0.32564657419960369</v>
      </c>
      <c r="O8" s="34">
        <f>IFERROR(Lookups!I8/Lookups!Q8,"")</f>
        <v>0.22620315677350633</v>
      </c>
      <c r="P8" s="34">
        <f>IFERROR(Lookups!S8/Lookups!T8,"")</f>
        <v>-8.0893968332203805</v>
      </c>
      <c r="Q8" s="33">
        <f>IFERROR((Lookups!L8-Lookups!AA8)/Lookups!AA8,"")</f>
        <v>-2.5268739781958646E-2</v>
      </c>
    </row>
    <row r="9" spans="1:17" ht="15" customHeight="1" thickBot="1" x14ac:dyDescent="0.35">
      <c r="A9" s="70" t="s">
        <v>10</v>
      </c>
      <c r="B9" s="70" t="s">
        <v>11</v>
      </c>
      <c r="C9" s="71">
        <v>2023</v>
      </c>
      <c r="D9" s="93">
        <f>IFERROR(IF(Lookups!U9=0,1,IF(Lookups!W9=0,1,(Lookups!H9/Lookups!F9)/(Lookups!W9/Lookups!U9))),1)</f>
        <v>1</v>
      </c>
      <c r="E9" s="93">
        <f>IFERROR(IF(Lookups!U9=0,1,IF(Lookups!F9=0,1,((Lookups!U9-Lookups!V9)/Lookups!U9)/((Lookups!F9-Lookups!G9)/Lookups!F9))),1)</f>
        <v>1</v>
      </c>
      <c r="F9" s="93">
        <f>IFERROR(IF(Lookups!AA9=0,1,IF((1-(Lookups!X9+Lookups!Y9+Lookups!Z9)/Lookups!AA9)=0,1,(1-(Lookups!I9+Lookups!J9+Lookups!K9)/Lookups!L9)/(1-(Lookups!X9+Lookups!Y9+Lookups!Z9)/Lookups!AA9))),1)</f>
        <v>1</v>
      </c>
      <c r="G9" s="93">
        <f>IFERROR(IF(Lookups!U9=0,1,Lookups!F9/Lookups!U9),1)</f>
        <v>0</v>
      </c>
      <c r="H9" s="93">
        <f>IFERROR(IF((Lookups!Y9+Lookups!AC9)=0,1,IF((Lookups!J9+Lookups!N9)=0,1,(Lookups!AC9/(Lookups!Y9+Lookups!AC9))/(Lookups!N9/(Lookups!J9+Lookups!N9)))),1)</f>
        <v>1</v>
      </c>
      <c r="I9" s="93">
        <f>IFERROR(IF(Lookups!U9=0,1,IF(Lookups!AB9=0,1,(Lookups!M9/Lookups!F9)/(Lookups!AB9/Lookups!U9))),1)</f>
        <v>1</v>
      </c>
      <c r="J9" s="93">
        <f>IFERROR(IF(Lookups!L9=0,1,(Lookups!O9-Lookups!P9)/Lookups!L9),1)</f>
        <v>1</v>
      </c>
      <c r="K9" s="93">
        <f>IFERROR(IF(Lookups!AA9=0,1,IF((Lookups!AF9+Lookups!AG9)=0,1,((Lookups!Q9+Lookups!R9)/Lookups!L9)/((Lookups!AF9+Lookups!AG9)/Lookups!AA9))),1)</f>
        <v>1</v>
      </c>
      <c r="L9" s="94">
        <f t="shared" si="0"/>
        <v>1.3070000000000004</v>
      </c>
      <c r="M9" s="72" t="str">
        <f t="shared" si="1"/>
        <v>Likely Manipulator</v>
      </c>
      <c r="N9" s="95" t="str">
        <f>IFERROR(Lookups!O9/Lookups!L9,"")</f>
        <v/>
      </c>
      <c r="O9" s="96" t="str">
        <f>IFERROR(Lookups!I9/Lookups!Q9,"")</f>
        <v/>
      </c>
      <c r="P9" s="96" t="str">
        <f>IFERROR(Lookups!S9/Lookups!T9,"")</f>
        <v/>
      </c>
      <c r="Q9" s="95">
        <f>IFERROR((Lookups!L9-Lookups!AA9)/Lookups!AA9,"")</f>
        <v>-1</v>
      </c>
    </row>
    <row r="10" spans="1:17" ht="15" customHeight="1" x14ac:dyDescent="0.3">
      <c r="A10" s="77" t="s">
        <v>16</v>
      </c>
      <c r="B10" s="77" t="s">
        <v>17</v>
      </c>
      <c r="C10" s="78">
        <v>2019</v>
      </c>
      <c r="D10" s="97">
        <f>IFERROR(IF(Lookups!U10=0,1,IF(Lookups!W10=0,1,(Lookups!H10/Lookups!F10)/(Lookups!W10/Lookups!U10))),1)</f>
        <v>0</v>
      </c>
      <c r="E10" s="97">
        <f>IFERROR(IF(Lookups!U10=0,1,IF(Lookups!F10=0,1,((Lookups!U10-Lookups!V10)/Lookups!U10)/((Lookups!F10-Lookups!G10)/Lookups!F10))),1)</f>
        <v>1.0736318126828466</v>
      </c>
      <c r="F10" s="97">
        <f>IFERROR(IF(Lookups!AA10=0,1,IF((1-(Lookups!X10+Lookups!Y10+Lookups!Z10)/Lookups!AA10)=0,1,(1-(Lookups!I10+Lookups!J10+Lookups!K10)/Lookups!L10)/(1-(Lookups!X10+Lookups!Y10+Lookups!Z10)/Lookups!AA10))),1)</f>
        <v>0.94800656053481258</v>
      </c>
      <c r="G10" s="97">
        <f>IFERROR(IF(Lookups!U10=0,1,Lookups!F10/Lookups!U10),1)</f>
        <v>1.3642265055427945</v>
      </c>
      <c r="H10" s="97">
        <f>IFERROR(IF((Lookups!Y10+Lookups!AC10)=0,1,IF((Lookups!J10+Lookups!N10)=0,1,(Lookups!AC10/(Lookups!Y10+Lookups!AC10))/(Lookups!N10/(Lookups!J10+Lookups!N10)))),1)</f>
        <v>0.95712689357369207</v>
      </c>
      <c r="I10" s="97">
        <f>IFERROR(IF(Lookups!U10=0,1,IF(Lookups!AB10=0,1,(Lookups!M10/Lookups!F10)/(Lookups!AB10/Lookups!U10))),1)</f>
        <v>0.66335380347478679</v>
      </c>
      <c r="J10" s="97">
        <f>IFERROR(IF(Lookups!L10=0,1,(Lookups!O10-Lookups!P10)/Lookups!L10),1)</f>
        <v>-1.2594187298170076E-3</v>
      </c>
      <c r="K10" s="97">
        <f>IFERROR(IF(Lookups!AA10=0,1,IF((Lookups!AF10+Lookups!AG10)=0,1,((Lookups!Q10+Lookups!R10)/Lookups!L10)/((Lookups!AF10+Lookups!AG10)/Lookups!AA10))),1)</f>
        <v>1.0899091020711189</v>
      </c>
      <c r="L10" s="98">
        <f t="shared" si="0"/>
        <v>-3.0395580675539784</v>
      </c>
      <c r="M10" s="79" t="str">
        <f t="shared" si="1"/>
        <v>Non-Manipulator</v>
      </c>
      <c r="N10" s="99">
        <f>IFERROR(Lookups!O10/Lookups!L10,"")</f>
        <v>0.10390742734122713</v>
      </c>
      <c r="O10" s="100">
        <f>IFERROR(Lookups!I10/Lookups!Q10,"")</f>
        <v>3.7212827988338191</v>
      </c>
      <c r="P10" s="100">
        <f>IFERROR(Lookups!S10/Lookups!T10,"")</f>
        <v>0.20883267621761589</v>
      </c>
      <c r="Q10" s="99">
        <f>IFERROR((Lookups!L10-Lookups!AA10)/Lookups!AA10,"")</f>
        <v>0.14078713084054767</v>
      </c>
    </row>
    <row r="11" spans="1:17" ht="15" customHeight="1" x14ac:dyDescent="0.3">
      <c r="A11" s="27" t="s">
        <v>16</v>
      </c>
      <c r="B11" s="27" t="s">
        <v>17</v>
      </c>
      <c r="C11" s="28">
        <v>2020</v>
      </c>
      <c r="D11" s="31">
        <f>IFERROR(IF(Lookups!U11=0,1,IF(Lookups!W11=0,1,(Lookups!H11/Lookups!F11)/(Lookups!W11/Lookups!U11))),1)</f>
        <v>1</v>
      </c>
      <c r="E11" s="31">
        <f>IFERROR(IF(Lookups!U11=0,1,IF(Lookups!F11=0,1,((Lookups!U11-Lookups!V11)/Lookups!U11)/((Lookups!F11-Lookups!G11)/Lookups!F11))),1)</f>
        <v>1.0660198660748117</v>
      </c>
      <c r="F11" s="31">
        <f>IFERROR(IF(Lookups!AA11=0,1,IF((1-(Lookups!X11+Lookups!Y11+Lookups!Z11)/Lookups!AA11)=0,1,(1-(Lookups!I11+Lookups!J11+Lookups!K11)/Lookups!L11)/(1-(Lookups!X11+Lookups!Y11+Lookups!Z11)/Lookups!AA11))),1)</f>
        <v>1.7877245699296289</v>
      </c>
      <c r="G11" s="31">
        <f>IFERROR(IF(Lookups!U11=0,1,Lookups!F11/Lookups!U11),1)</f>
        <v>1.2948860071114829</v>
      </c>
      <c r="H11" s="31">
        <f>IFERROR(IF((Lookups!Y11+Lookups!AC11)=0,1,IF((Lookups!J11+Lookups!N11)=0,1,(Lookups!AC11/(Lookups!Y11+Lookups!AC11))/(Lookups!N11/(Lookups!J11+Lookups!N11)))),1)</f>
        <v>0.98432363338952378</v>
      </c>
      <c r="I11" s="31">
        <f>IFERROR(IF(Lookups!U11=0,1,IF(Lookups!AB11=0,1,(Lookups!M11/Lookups!F11)/(Lookups!AB11/Lookups!U11))),1)</f>
        <v>1.066210931059173</v>
      </c>
      <c r="J11" s="31">
        <f>IFERROR(IF(Lookups!L11=0,1,(Lookups!O11-Lookups!P11)/Lookups!L11),1)</f>
        <v>-5.5828401124963269E-2</v>
      </c>
      <c r="K11" s="31">
        <f>IFERROR(IF(Lookups!AA11=0,1,IF((Lookups!AF11+Lookups!AG11)=0,1,((Lookups!Q11+Lookups!R11)/Lookups!L11)/((Lookups!AF11+Lookups!AG11)/Lookups!AA11))),1)</f>
        <v>0.76453241750883294</v>
      </c>
      <c r="L11" s="32">
        <f t="shared" si="0"/>
        <v>-2.0612767178089606</v>
      </c>
      <c r="M11" s="29" t="str">
        <f t="shared" si="1"/>
        <v>Likely Manipulator</v>
      </c>
      <c r="N11" s="33">
        <f>IFERROR(Lookups!O11/Lookups!L11,"")</f>
        <v>0.20733744700499518</v>
      </c>
      <c r="O11" s="34">
        <f>IFERROR(Lookups!I11/Lookups!Q11,"")</f>
        <v>4.9004659462674729</v>
      </c>
      <c r="P11" s="34">
        <f>IFERROR(Lookups!S11/Lookups!T11,"")</f>
        <v>0.19552562378304594</v>
      </c>
      <c r="Q11" s="33">
        <f>IFERROR((Lookups!L11-Lookups!AA11)/Lookups!AA11,"")</f>
        <v>0.28218514531754574</v>
      </c>
    </row>
    <row r="12" spans="1:17" ht="15" customHeight="1" x14ac:dyDescent="0.3">
      <c r="A12" s="27" t="s">
        <v>16</v>
      </c>
      <c r="B12" s="27" t="s">
        <v>17</v>
      </c>
      <c r="C12" s="28">
        <v>2021</v>
      </c>
      <c r="D12" s="31">
        <f>IFERROR(IF(Lookups!U12=0,1,IF(Lookups!W12=0,1,(Lookups!H12/Lookups!F12)/(Lookups!W12/Lookups!U12))),1)</f>
        <v>1</v>
      </c>
      <c r="E12" s="31">
        <f>IFERROR(IF(Lookups!U12=0,1,IF(Lookups!F12=0,1,((Lookups!U12-Lookups!V12)/Lookups!U12)/((Lookups!F12-Lookups!G12)/Lookups!F12))),1)</f>
        <v>1.1442767748314284</v>
      </c>
      <c r="F12" s="31">
        <f>IFERROR(IF(Lookups!AA12=0,1,IF((1-(Lookups!X12+Lookups!Y12+Lookups!Z12)/Lookups!AA12)=0,1,(1-(Lookups!I12+Lookups!J12+Lookups!K12)/Lookups!L12)/(1-(Lookups!X12+Lookups!Y12+Lookups!Z12)/Lookups!AA12))),1)</f>
        <v>0.88871310334641329</v>
      </c>
      <c r="G12" s="31">
        <f>IFERROR(IF(Lookups!U12=0,1,Lookups!F12/Lookups!U12),1)</f>
        <v>1.7297705484707269</v>
      </c>
      <c r="H12" s="31">
        <f>IFERROR(IF((Lookups!Y12+Lookups!AC12)=0,1,IF((Lookups!J12+Lookups!N12)=0,1,(Lookups!AC12/(Lookups!Y12+Lookups!AC12))/(Lookups!N12/(Lookups!J12+Lookups!N12)))),1)</f>
        <v>0.95381326872666428</v>
      </c>
      <c r="I12" s="31">
        <f>IFERROR(IF(Lookups!U12=0,1,IF(Lookups!AB12=0,1,(Lookups!M12/Lookups!F12)/(Lookups!AB12/Lookups!U12))),1)</f>
        <v>0.73665200099270189</v>
      </c>
      <c r="J12" s="31">
        <f>IFERROR(IF(Lookups!L12=0,1,(Lookups!O12-Lookups!P12)/Lookups!L12),1)</f>
        <v>0.2562129408442877</v>
      </c>
      <c r="K12" s="31">
        <f>IFERROR(IF(Lookups!AA12=0,1,IF((Lookups!AF12+Lookups!AG12)=0,1,((Lookups!Q12+Lookups!R12)/Lookups!L12)/((Lookups!AF12+Lookups!AG12)/Lookups!AA12))),1)</f>
        <v>1.6072235391323177</v>
      </c>
      <c r="L12" s="32">
        <f t="shared" si="0"/>
        <v>-0.75758380525419022</v>
      </c>
      <c r="M12" s="29" t="str">
        <f t="shared" si="1"/>
        <v>Likely Manipulator</v>
      </c>
      <c r="N12" s="33">
        <f>IFERROR(Lookups!O12/Lookups!L12,"")</f>
        <v>0.41422444122748442</v>
      </c>
      <c r="O12" s="34">
        <f>IFERROR(Lookups!I12/Lookups!Q12,"")</f>
        <v>4.5806111696522658</v>
      </c>
      <c r="P12" s="34">
        <f>IFERROR(Lookups!S12/Lookups!T12,"")</f>
        <v>0.20842833854169487</v>
      </c>
      <c r="Q12" s="33">
        <f>IFERROR((Lookups!L12-Lookups!AA12)/Lookups!AA12,"")</f>
        <v>0.87317298409100452</v>
      </c>
    </row>
    <row r="13" spans="1:17" ht="15" customHeight="1" x14ac:dyDescent="0.3">
      <c r="A13" s="27" t="s">
        <v>16</v>
      </c>
      <c r="B13" s="27" t="s">
        <v>17</v>
      </c>
      <c r="C13" s="28">
        <v>2022</v>
      </c>
      <c r="D13" s="31">
        <f>IFERROR(IF(Lookups!U13=0,1,IF(Lookups!W13=0,1,(Lookups!H13/Lookups!F13)/(Lookups!W13/Lookups!U13))),1)</f>
        <v>1</v>
      </c>
      <c r="E13" s="31">
        <f>IFERROR(IF(Lookups!U13=0,1,IF(Lookups!F13=0,1,((Lookups!U13-Lookups!V13)/Lookups!U13)/((Lookups!F13-Lookups!G13)/Lookups!F13))),1)</f>
        <v>1.006694399354894</v>
      </c>
      <c r="F13" s="31">
        <f>IFERROR(IF(Lookups!AA13=0,1,IF((1-(Lookups!X13+Lookups!Y13+Lookups!Z13)/Lookups!AA13)=0,1,(1-(Lookups!I13+Lookups!J13+Lookups!K13)/Lookups!L13)/(1-(Lookups!X13+Lookups!Y13+Lookups!Z13)/Lookups!AA13))),1)</f>
        <v>1.1160781408810314</v>
      </c>
      <c r="G13" s="31">
        <f>IFERROR(IF(Lookups!U13=0,1,Lookups!F13/Lookups!U13),1)</f>
        <v>1.5898027314112291</v>
      </c>
      <c r="H13" s="31">
        <f>IFERROR(IF((Lookups!Y13+Lookups!AC13)=0,1,IF((Lookups!J13+Lookups!N13)=0,1,(Lookups!AC13/(Lookups!Y13+Lookups!AC13))/(Lookups!N13/(Lookups!J13+Lookups!N13)))),1)</f>
        <v>1.1506783255557629</v>
      </c>
      <c r="I13" s="31">
        <f>IFERROR(IF(Lookups!U13=0,1,IF(Lookups!AB13=0,1,(Lookups!M13/Lookups!F13)/(Lookups!AB13/Lookups!U13))),1)</f>
        <v>0.98268164238931788</v>
      </c>
      <c r="J13" s="31">
        <f>IFERROR(IF(Lookups!L13=0,1,(Lookups!O13-Lookups!P13)/Lookups!L13),1)</f>
        <v>0.10432667138853817</v>
      </c>
      <c r="K13" s="31">
        <f>IFERROR(IF(Lookups!AA13=0,1,IF((Lookups!AF13+Lookups!AG13)=0,1,((Lookups!Q13+Lookups!R13)/Lookups!L13)/((Lookups!AF13+Lookups!AG13)/Lookups!AA13))),1)</f>
        <v>1.0140472919676449</v>
      </c>
      <c r="L13" s="32">
        <f t="shared" si="0"/>
        <v>-1.3996079559043624</v>
      </c>
      <c r="M13" s="29" t="str">
        <f t="shared" si="1"/>
        <v>Likely Manipulator</v>
      </c>
      <c r="N13" s="33">
        <f>IFERROR(Lookups!O13/Lookups!L13,"")</f>
        <v>0.49380716287377208</v>
      </c>
      <c r="O13" s="34">
        <f>IFERROR(Lookups!I13/Lookups!Q13,"")</f>
        <v>4.405462091124102</v>
      </c>
      <c r="P13" s="34">
        <f>IFERROR(Lookups!S13/Lookups!T13,"")</f>
        <v>0.20838310429388496</v>
      </c>
      <c r="Q13" s="33">
        <f>IFERROR((Lookups!L13-Lookups!AA13)/Lookups!AA13,"")</f>
        <v>0.45538559449272376</v>
      </c>
    </row>
    <row r="14" spans="1:17" ht="15" customHeight="1" thickBot="1" x14ac:dyDescent="0.35">
      <c r="A14" s="81" t="s">
        <v>16</v>
      </c>
      <c r="B14" s="81" t="s">
        <v>17</v>
      </c>
      <c r="C14" s="82">
        <v>2023</v>
      </c>
      <c r="D14" s="101">
        <f>IFERROR(IF(Lookups!U14=0,1,IF(Lookups!W14=0,1,(Lookups!H14/Lookups!F14)/(Lookups!W14/Lookups!U14))),1)</f>
        <v>1</v>
      </c>
      <c r="E14" s="101">
        <f>IFERROR(IF(Lookups!U14=0,1,IF(Lookups!F14=0,1,((Lookups!U14-Lookups!V14)/Lookups!U14)/((Lookups!F14-Lookups!G14)/Lookups!F14))),1)</f>
        <v>0.89968265500534528</v>
      </c>
      <c r="F14" s="101">
        <f>IFERROR(IF(Lookups!AA14=0,1,IF((1-(Lookups!X14+Lookups!Y14+Lookups!Z14)/Lookups!AA14)=0,1,(1-(Lookups!I14+Lookups!J14+Lookups!K14)/Lookups!L14)/(1-(Lookups!X14+Lookups!Y14+Lookups!Z14)/Lookups!AA14))),1)</f>
        <v>1.3257688779102383</v>
      </c>
      <c r="G14" s="101">
        <f>IFERROR(IF(Lookups!U14=0,1,Lookups!F14/Lookups!U14),1)</f>
        <v>1.0326435552840563</v>
      </c>
      <c r="H14" s="101">
        <f>IFERROR(IF((Lookups!Y14+Lookups!AC14)=0,1,IF((Lookups!J14+Lookups!N14)=0,1,(Lookups!AC14/(Lookups!Y14+Lookups!AC14))/(Lookups!N14/(Lookups!J14+Lookups!N14)))),1)</f>
        <v>0.95249482817158926</v>
      </c>
      <c r="I14" s="101">
        <f>IFERROR(IF(Lookups!U14=0,1,IF(Lookups!AB14=0,1,(Lookups!M14/Lookups!F14)/(Lookups!AB14/Lookups!U14))),1)</f>
        <v>1.3208991466850226</v>
      </c>
      <c r="J14" s="101">
        <f>IFERROR(IF(Lookups!L14=0,1,(Lookups!O14-Lookups!P14)/Lookups!L14),1)</f>
        <v>-0.20991399742669467</v>
      </c>
      <c r="K14" s="101">
        <f>IFERROR(IF(Lookups!AA14=0,1,IF((Lookups!AF14+Lookups!AG14)=0,1,((Lookups!Q14+Lookups!R14)/Lookups!L14)/((Lookups!AF14+Lookups!AG14)/Lookups!AA14))),1)</f>
        <v>1.2155134651525747</v>
      </c>
      <c r="L14" s="102">
        <f t="shared" si="0"/>
        <v>-3.4855571252225501</v>
      </c>
      <c r="M14" s="83" t="str">
        <f t="shared" si="1"/>
        <v>Non-Manipulator</v>
      </c>
      <c r="N14" s="103">
        <f>IFERROR(Lookups!O14/Lookups!L14,"")</f>
        <v>0.27849393918873161</v>
      </c>
      <c r="O14" s="104">
        <f>IFERROR(Lookups!I14/Lookups!Q14,"")</f>
        <v>2.9766360421746079</v>
      </c>
      <c r="P14" s="104">
        <f>IFERROR(Lookups!S14/Lookups!T14,"")</f>
        <v>0.26480473340345273</v>
      </c>
      <c r="Q14" s="103">
        <f>IFERROR((Lookups!L14-Lookups!AA14)/Lookups!AA14,"")</f>
        <v>0.13686755150432667</v>
      </c>
    </row>
    <row r="15" spans="1:17" ht="15" customHeight="1" x14ac:dyDescent="0.3">
      <c r="A15" s="85" t="s">
        <v>19</v>
      </c>
      <c r="B15" s="85" t="s">
        <v>20</v>
      </c>
      <c r="C15" s="86">
        <v>2019</v>
      </c>
      <c r="D15" s="105">
        <f>IFERROR(IF(Lookups!U15=0,1,IF(Lookups!W15=0,1,(Lookups!H15/Lookups!F15)/(Lookups!W15/Lookups!U15))),1)</f>
        <v>0.73801768443993676</v>
      </c>
      <c r="E15" s="105">
        <f>IFERROR(IF(Lookups!U15=0,1,IF(Lookups!F15=0,1,((Lookups!U15-Lookups!V15)/Lookups!U15)/((Lookups!F15-Lookups!G15)/Lookups!F15))),1)</f>
        <v>0.99398287466396429</v>
      </c>
      <c r="F15" s="105">
        <f>IFERROR(IF(Lookups!AA15=0,1,IF((1-(Lookups!X15+Lookups!Y15+Lookups!Z15)/Lookups!AA15)=0,1,(1-(Lookups!I15+Lookups!J15+Lookups!K15)/Lookups!L15)/(1-(Lookups!X15+Lookups!Y15+Lookups!Z15)/Lookups!AA15))),1)</f>
        <v>0.98181002574392828</v>
      </c>
      <c r="G15" s="105">
        <f>IFERROR(IF(Lookups!U15=0,1,Lookups!F15/Lookups!U15),1)</f>
        <v>1.236030927298601</v>
      </c>
      <c r="H15" s="105">
        <f>IFERROR(IF((Lookups!Y15+Lookups!AC15)=0,1,IF((Lookups!J15+Lookups!N15)=0,1,(Lookups!AC15/(Lookups!Y15+Lookups!AC15))/(Lookups!N15/(Lookups!J15+Lookups!N15)))),1)</f>
        <v>0.99933213909801621</v>
      </c>
      <c r="I15" s="105">
        <f>IFERROR(IF(Lookups!U15=0,1,IF(Lookups!AB15=0,1,(Lookups!M15/Lookups!F15)/(Lookups!AB15/Lookups!U15))),1)</f>
        <v>0.82822668369677743</v>
      </c>
      <c r="J15" s="105">
        <f>IFERROR(IF(Lookups!L15=0,1,(Lookups!O15-Lookups!P15)/Lookups!L15),1)</f>
        <v>-4.1286384759098738E-2</v>
      </c>
      <c r="K15" s="105">
        <f>IFERROR(IF(Lookups!AA15=0,1,IF((Lookups!AF15+Lookups!AG15)=0,1,((Lookups!Q15+Lookups!R15)/Lookups!L15)/((Lookups!AF15+Lookups!AG15)/Lookups!AA15))),1)</f>
        <v>1.4076798328770732</v>
      </c>
      <c r="L15" s="106">
        <f t="shared" si="0"/>
        <v>-2.8180320281799851</v>
      </c>
      <c r="M15" s="87" t="str">
        <f t="shared" si="1"/>
        <v>Non-Manipulator</v>
      </c>
      <c r="N15" s="107">
        <f>IFERROR(Lookups!O15/Lookups!L15,"")</f>
        <v>4.1218387027650086E-2</v>
      </c>
      <c r="O15" s="108">
        <f>IFERROR(Lookups!I15/Lookups!Q15,"")</f>
        <v>1.2396410142848997</v>
      </c>
      <c r="P15" s="108">
        <f>IFERROR(Lookups!S15/Lookups!T15,"")</f>
        <v>4.2052330147518138</v>
      </c>
      <c r="Q15" s="107">
        <f>IFERROR((Lookups!L15-Lookups!AA15)/Lookups!AA15,"")</f>
        <v>1.9007423601475767E-2</v>
      </c>
    </row>
    <row r="16" spans="1:17" ht="15" customHeight="1" x14ac:dyDescent="0.3">
      <c r="A16" s="27" t="s">
        <v>19</v>
      </c>
      <c r="B16" s="27" t="s">
        <v>20</v>
      </c>
      <c r="C16" s="28">
        <v>2020</v>
      </c>
      <c r="D16" s="31">
        <f>IFERROR(IF(Lookups!U16=0,1,IF(Lookups!W16=0,1,(Lookups!H16/Lookups!F16)/(Lookups!W16/Lookups!U16))),1)</f>
        <v>1.7132755808919231</v>
      </c>
      <c r="E16" s="31">
        <f>IFERROR(IF(Lookups!U16=0,1,IF(Lookups!F16=0,1,((Lookups!U16-Lookups!V16)/Lookups!U16)/((Lookups!F16-Lookups!G16)/Lookups!F16))),1)</f>
        <v>1.0951098250300393</v>
      </c>
      <c r="F16" s="31">
        <f>IFERROR(IF(Lookups!AA16=0,1,IF((1-(Lookups!X16+Lookups!Y16+Lookups!Z16)/Lookups!AA16)=0,1,(1-(Lookups!I16+Lookups!J16+Lookups!K16)/Lookups!L16)/(1-(Lookups!X16+Lookups!Y16+Lookups!Z16)/Lookups!AA16))),1)</f>
        <v>2.1605804535304118</v>
      </c>
      <c r="G16" s="31">
        <f>IFERROR(IF(Lookups!U16=0,1,Lookups!F16/Lookups!U16),1)</f>
        <v>0.55755345784250565</v>
      </c>
      <c r="H16" s="31">
        <f>IFERROR(IF((Lookups!Y16+Lookups!AC16)=0,1,IF((Lookups!J16+Lookups!N16)=0,1,(Lookups!AC16/(Lookups!Y16+Lookups!AC16))/(Lookups!N16/(Lookups!J16+Lookups!N16)))),1)</f>
        <v>0.7922375459476847</v>
      </c>
      <c r="I16" s="31">
        <f>IFERROR(IF(Lookups!U16=0,1,IF(Lookups!AB16=0,1,(Lookups!M16/Lookups!F16)/(Lookups!AB16/Lookups!U16))),1)</f>
        <v>1.6734504544369315</v>
      </c>
      <c r="J16" s="31">
        <f>IFERROR(IF(Lookups!L16=0,1,(Lookups!O16-Lookups!P16)/Lookups!L16),1)</f>
        <v>-2.171936833537377E-2</v>
      </c>
      <c r="K16" s="31">
        <f>IFERROR(IF(Lookups!AA16=0,1,IF((Lookups!AF16+Lookups!AG16)=0,1,((Lookups!Q16+Lookups!R16)/Lookups!L16)/((Lookups!AF16+Lookups!AG16)/Lookups!AA16))),1)</f>
        <v>1.23748772201331</v>
      </c>
      <c r="L16" s="32">
        <f t="shared" si="0"/>
        <v>-2.0183658602605035</v>
      </c>
      <c r="M16" s="29" t="str">
        <f t="shared" si="1"/>
        <v>Likely Manipulator</v>
      </c>
      <c r="N16" s="33">
        <f>IFERROR(Lookups!O16/Lookups!L16,"")</f>
        <v>1.0942504940046711E-2</v>
      </c>
      <c r="O16" s="34">
        <f>IFERROR(Lookups!I16/Lookups!Q16,"")</f>
        <v>0.64716618375574642</v>
      </c>
      <c r="P16" s="34">
        <f>IFERROR(Lookups!S16/Lookups!T16,"")</f>
        <v>1.0984492440068512</v>
      </c>
      <c r="Q16" s="33">
        <f>IFERROR((Lookups!L16-Lookups!AA16)/Lookups!AA16,"")</f>
        <v>0.21156317963273139</v>
      </c>
    </row>
    <row r="17" spans="1:17" ht="15" customHeight="1" x14ac:dyDescent="0.3">
      <c r="A17" s="27" t="s">
        <v>19</v>
      </c>
      <c r="B17" s="27" t="s">
        <v>20</v>
      </c>
      <c r="C17" s="28">
        <v>2021</v>
      </c>
      <c r="D17" s="31">
        <f>IFERROR(IF(Lookups!U17=0,1,IF(Lookups!W17=0,1,(Lookups!H17/Lookups!F17)/(Lookups!W17/Lookups!U17))),1)</f>
        <v>1.1907433253067072</v>
      </c>
      <c r="E17" s="31">
        <f>IFERROR(IF(Lookups!U17=0,1,IF(Lookups!F17=0,1,((Lookups!U17-Lookups!V17)/Lookups!U17)/((Lookups!F17-Lookups!G17)/Lookups!F17))),1)</f>
        <v>1.0002358412436956</v>
      </c>
      <c r="F17" s="31">
        <f>IFERROR(IF(Lookups!AA17=0,1,IF((1-(Lookups!X17+Lookups!Y17+Lookups!Z17)/Lookups!AA17)=0,1,(1-(Lookups!I17+Lookups!J17+Lookups!K17)/Lookups!L17)/(1-(Lookups!X17+Lookups!Y17+Lookups!Z17)/Lookups!AA17))),1)</f>
        <v>1.0923544404379095</v>
      </c>
      <c r="G17" s="31">
        <f>IFERROR(IF(Lookups!U17=0,1,Lookups!F17/Lookups!U17),1)</f>
        <v>0.61794485533034194</v>
      </c>
      <c r="H17" s="31">
        <f>IFERROR(IF((Lookups!Y17+Lookups!AC17)=0,1,IF((Lookups!J17+Lookups!N17)=0,1,(Lookups!AC17/(Lookups!Y17+Lookups!AC17))/(Lookups!N17/(Lookups!J17+Lookups!N17)))),1)</f>
        <v>0.72327579568712885</v>
      </c>
      <c r="I17" s="31">
        <f>IFERROR(IF(Lookups!U17=0,1,IF(Lookups!AB17=0,1,(Lookups!M17/Lookups!F17)/(Lookups!AB17/Lookups!U17))),1)</f>
        <v>1.24636367247837</v>
      </c>
      <c r="J17" s="31">
        <f>IFERROR(IF(Lookups!L17=0,1,(Lookups!O17-Lookups!P17)/Lookups!L17),1)</f>
        <v>-1.8778954361504931E-2</v>
      </c>
      <c r="K17" s="31">
        <f>IFERROR(IF(Lookups!AA17=0,1,IF((Lookups!AF17+Lookups!AG17)=0,1,((Lookups!Q17+Lookups!R17)/Lookups!L17)/((Lookups!AF17+Lookups!AG17)/Lookups!AA17))),1)</f>
        <v>1.0607210019152551</v>
      </c>
      <c r="L17" s="32">
        <f t="shared" si="0"/>
        <v>-2.7897939418956068</v>
      </c>
      <c r="M17" s="29" t="str">
        <f t="shared" si="1"/>
        <v>Non-Manipulator</v>
      </c>
      <c r="N17" s="33">
        <f>IFERROR(Lookups!O17/Lookups!L17,"")</f>
        <v>-6.8375665348817075E-2</v>
      </c>
      <c r="O17" s="34">
        <f>IFERROR(Lookups!I17/Lookups!Q17,"")</f>
        <v>0.5688460801323435</v>
      </c>
      <c r="P17" s="34">
        <f>IFERROR(Lookups!S17/Lookups!T17,"")</f>
        <v>1.2210701739861489</v>
      </c>
      <c r="Q17" s="33">
        <f>IFERROR((Lookups!L17-Lookups!AA17)/Lookups!AA17,"")</f>
        <v>-5.7472610366642703E-2</v>
      </c>
    </row>
    <row r="18" spans="1:17" ht="15" customHeight="1" x14ac:dyDescent="0.3">
      <c r="A18" s="27" t="s">
        <v>19</v>
      </c>
      <c r="B18" s="27" t="s">
        <v>20</v>
      </c>
      <c r="C18" s="28">
        <v>2022</v>
      </c>
      <c r="D18" s="31">
        <f>IFERROR(IF(Lookups!U18=0,1,IF(Lookups!W18=0,1,(Lookups!H18/Lookups!F18)/(Lookups!W18/Lookups!U18))),1)</f>
        <v>0.85859545321177611</v>
      </c>
      <c r="E18" s="31">
        <f>IFERROR(IF(Lookups!U18=0,1,IF(Lookups!F18=0,1,((Lookups!U18-Lookups!V18)/Lookups!U18)/((Lookups!F18-Lookups!G18)/Lookups!F18))),1)</f>
        <v>0.96098897557818519</v>
      </c>
      <c r="F18" s="31">
        <f>IFERROR(IF(Lookups!AA18=0,1,IF((1-(Lookups!X18+Lookups!Y18+Lookups!Z18)/Lookups!AA18)=0,1,(1-(Lookups!I18+Lookups!J18+Lookups!K18)/Lookups!L18)/(1-(Lookups!X18+Lookups!Y18+Lookups!Z18)/Lookups!AA18))),1)</f>
        <v>0.57872053726561212</v>
      </c>
      <c r="G18" s="31">
        <f>IFERROR(IF(Lookups!U18=0,1,Lookups!F18/Lookups!U18),1)</f>
        <v>3.2199293060284577</v>
      </c>
      <c r="H18" s="31">
        <f>IFERROR(IF((Lookups!Y18+Lookups!AC18)=0,1,IF((Lookups!J18+Lookups!N18)=0,1,(Lookups!AC18/(Lookups!Y18+Lookups!AC18))/(Lookups!N18/(Lookups!J18+Lookups!N18)))),1)</f>
        <v>13.567739503141139</v>
      </c>
      <c r="I18" s="31">
        <f>IFERROR(IF(Lookups!U18=0,1,IF(Lookups!AB18=0,1,(Lookups!M18/Lookups!F18)/(Lookups!AB18/Lookups!U18))),1)</f>
        <v>0.76853559404756067</v>
      </c>
      <c r="J18" s="31">
        <f>IFERROR(IF(Lookups!L18=0,1,(Lookups!O18-Lookups!P18)/Lookups!L18),1)</f>
        <v>3.0105875160211178E-2</v>
      </c>
      <c r="K18" s="31">
        <f>IFERROR(IF(Lookups!AA18=0,1,IF((Lookups!AF18+Lookups!AG18)=0,1,((Lookups!Q18+Lookups!R18)/Lookups!L18)/((Lookups!AF18+Lookups!AG18)/Lookups!AA18))),1)</f>
        <v>0.84335281882129132</v>
      </c>
      <c r="L18" s="32">
        <f t="shared" si="0"/>
        <v>0.85648097289792391</v>
      </c>
      <c r="M18" s="29" t="str">
        <f t="shared" si="1"/>
        <v>Likely Manipulator</v>
      </c>
      <c r="N18" s="33">
        <f>IFERROR(Lookups!O18/Lookups!L18,"")</f>
        <v>5.2369379709432319E-2</v>
      </c>
      <c r="O18" s="34">
        <f>IFERROR(Lookups!I18/Lookups!Q18,"")</f>
        <v>1.0439265136885258</v>
      </c>
      <c r="P18" s="34">
        <f>IFERROR(Lookups!S18/Lookups!T18,"")</f>
        <v>1.8236971341513142</v>
      </c>
      <c r="Q18" s="33">
        <f>IFERROR((Lookups!L18-Lookups!AA18)/Lookups!AA18,"")</f>
        <v>0.75507218179693825</v>
      </c>
    </row>
    <row r="19" spans="1:17" ht="15" customHeight="1" thickBot="1" x14ac:dyDescent="0.35">
      <c r="A19" s="70" t="s">
        <v>19</v>
      </c>
      <c r="B19" s="70" t="s">
        <v>20</v>
      </c>
      <c r="C19" s="71">
        <v>2023</v>
      </c>
      <c r="D19" s="93">
        <f>IFERROR(IF(Lookups!U19=0,1,IF(Lookups!W19=0,1,(Lookups!H19/Lookups!F19)/(Lookups!W19/Lookups!U19))),1)</f>
        <v>0.75810935781603639</v>
      </c>
      <c r="E19" s="93">
        <f>IFERROR(IF(Lookups!U19=0,1,IF(Lookups!F19=0,1,((Lookups!U19-Lookups!V19)/Lookups!U19)/((Lookups!F19-Lookups!G19)/Lookups!F19))),1)</f>
        <v>1.0988447163666226</v>
      </c>
      <c r="F19" s="93">
        <f>IFERROR(IF(Lookups!AA19=0,1,IF((1-(Lookups!X19+Lookups!Y19+Lookups!Z19)/Lookups!AA19)=0,1,(1-(Lookups!I19+Lookups!J19+Lookups!K19)/Lookups!L19)/(1-(Lookups!X19+Lookups!Y19+Lookups!Z19)/Lookups!AA19))),1)</f>
        <v>1.1392709969471997</v>
      </c>
      <c r="G19" s="93">
        <f>IFERROR(IF(Lookups!U19=0,1,Lookups!F19/Lookups!U19),1)</f>
        <v>0.91280959945538731</v>
      </c>
      <c r="H19" s="93">
        <f>IFERROR(IF((Lookups!Y19+Lookups!AC19)=0,1,IF((Lookups!J19+Lookups!N19)=0,1,(Lookups!AC19/(Lookups!Y19+Lookups!AC19))/(Lookups!N19/(Lookups!J19+Lookups!N19)))),1)</f>
        <v>0.51486392118555424</v>
      </c>
      <c r="I19" s="93">
        <f>IFERROR(IF(Lookups!U19=0,1,IF(Lookups!AB19=0,1,(Lookups!M19/Lookups!F19)/(Lookups!AB19/Lookups!U19))),1)</f>
        <v>1.3189913633833728</v>
      </c>
      <c r="J19" s="93">
        <f>IFERROR(IF(Lookups!L19=0,1,(Lookups!O19-Lookups!P19)/Lookups!L19),1)</f>
        <v>0.15502173803321134</v>
      </c>
      <c r="K19" s="93">
        <f>IFERROR(IF(Lookups!AA19=0,1,IF((Lookups!AF19+Lookups!AG19)=0,1,((Lookups!Q19+Lookups!R19)/Lookups!L19)/((Lookups!AF19+Lookups!AG19)/Lookups!AA19))),1)</f>
        <v>0.91823964033047645</v>
      </c>
      <c r="L19" s="94">
        <f t="shared" si="0"/>
        <v>-2.0304325487830668</v>
      </c>
      <c r="M19" s="72" t="str">
        <f t="shared" si="1"/>
        <v>Likely Manipulator</v>
      </c>
      <c r="N19" s="95">
        <f>IFERROR(Lookups!O19/Lookups!L19,"")</f>
        <v>1.3670847617540675E-2</v>
      </c>
      <c r="O19" s="96">
        <f>IFERROR(Lookups!I19/Lookups!Q19,"")</f>
        <v>1.1344134503543617</v>
      </c>
      <c r="P19" s="96">
        <f>IFERROR(Lookups!S19/Lookups!T19,"")</f>
        <v>1.4572985394837219</v>
      </c>
      <c r="Q19" s="95">
        <f>IFERROR((Lookups!L19-Lookups!AA19)/Lookups!AA19,"")</f>
        <v>-9.9507980606436258E-2</v>
      </c>
    </row>
    <row r="20" spans="1:17" ht="15" customHeight="1" x14ac:dyDescent="0.3">
      <c r="A20" s="77" t="s">
        <v>22</v>
      </c>
      <c r="B20" s="77" t="s">
        <v>23</v>
      </c>
      <c r="C20" s="78">
        <v>2019</v>
      </c>
      <c r="D20" s="97">
        <f>IFERROR(IF(Lookups!U20=0,1,IF(Lookups!W20=0,1,(Lookups!H20/Lookups!F20)/(Lookups!W20/Lookups!U20))),1)</f>
        <v>2.4715967169829618</v>
      </c>
      <c r="E20" s="97">
        <f>IFERROR(IF(Lookups!U20=0,1,IF(Lookups!F20=0,1,((Lookups!U20-Lookups!V20)/Lookups!U20)/((Lookups!F20-Lookups!G20)/Lookups!F20))),1)</f>
        <v>1.0240427059990598</v>
      </c>
      <c r="F20" s="97">
        <f>IFERROR(IF(Lookups!AA20=0,1,IF((1-(Lookups!X20+Lookups!Y20+Lookups!Z20)/Lookups!AA20)=0,1,(1-(Lookups!I20+Lookups!J20+Lookups!K20)/Lookups!L20)/(1-(Lookups!X20+Lookups!Y20+Lookups!Z20)/Lookups!AA20))),1)</f>
        <v>0.51681245312330415</v>
      </c>
      <c r="G20" s="97">
        <f>IFERROR(IF(Lookups!U20=0,1,Lookups!F20/Lookups!U20),1)</f>
        <v>0.95667090650378017</v>
      </c>
      <c r="H20" s="97">
        <f>IFERROR(IF((Lookups!Y20+Lookups!AC20)=0,1,IF((Lookups!J20+Lookups!N20)=0,1,(Lookups!AC20/(Lookups!Y20+Lookups!AC20))/(Lookups!N20/(Lookups!J20+Lookups!N20)))),1)</f>
        <v>2.8258278767606377</v>
      </c>
      <c r="I20" s="97">
        <f>IFERROR(IF(Lookups!U20=0,1,IF(Lookups!AB20=0,1,(Lookups!M20/Lookups!F20)/(Lookups!AB20/Lookups!U20))),1)</f>
        <v>1.1097245796830708</v>
      </c>
      <c r="J20" s="97">
        <f>IFERROR(IF(Lookups!L20=0,1,(Lookups!O20-Lookups!P20)/Lookups!L20),1)</f>
        <v>9.8756900086776414E-3</v>
      </c>
      <c r="K20" s="97">
        <f>IFERROR(IF(Lookups!AA20=0,1,IF((Lookups!AF20+Lookups!AG20)=0,1,((Lookups!Q20+Lookups!R20)/Lookups!L20)/((Lookups!AF20+Lookups!AG20)/Lookups!AA20))),1)</f>
        <v>1.377480580679487</v>
      </c>
      <c r="L20" s="98">
        <f t="shared" si="0"/>
        <v>-1.2334240101545888</v>
      </c>
      <c r="M20" s="79" t="str">
        <f t="shared" si="1"/>
        <v>Likely Manipulator</v>
      </c>
      <c r="N20" s="99">
        <f>IFERROR(Lookups!O20/Lookups!L20,"")</f>
        <v>1.8632059752420937E-2</v>
      </c>
      <c r="O20" s="100">
        <f>IFERROR(Lookups!I20/Lookups!Q20,"")</f>
        <v>0.90020437946389764</v>
      </c>
      <c r="P20" s="100">
        <f>IFERROR(Lookups!S20/Lookups!T20,"")</f>
        <v>3.7648538835337497</v>
      </c>
      <c r="Q20" s="99">
        <f>IFERROR((Lookups!L20-Lookups!AA20)/Lookups!AA20,"")</f>
        <v>0.76096023270868796</v>
      </c>
    </row>
    <row r="21" spans="1:17" ht="15" customHeight="1" x14ac:dyDescent="0.3">
      <c r="A21" s="27" t="s">
        <v>22</v>
      </c>
      <c r="B21" s="27" t="s">
        <v>23</v>
      </c>
      <c r="C21" s="28">
        <v>2020</v>
      </c>
      <c r="D21" s="31">
        <f>IFERROR(IF(Lookups!U21=0,1,IF(Lookups!W21=0,1,(Lookups!H21/Lookups!F21)/(Lookups!W21/Lookups!U21))),1)</f>
        <v>0.28967179173630875</v>
      </c>
      <c r="E21" s="31">
        <f>IFERROR(IF(Lookups!U21=0,1,IF(Lookups!F21=0,1,((Lookups!U21-Lookups!V21)/Lookups!U21)/((Lookups!F21-Lookups!G21)/Lookups!F21))),1)</f>
        <v>0.97832818284690581</v>
      </c>
      <c r="F21" s="31">
        <f>IFERROR(IF(Lookups!AA21=0,1,IF((1-(Lookups!X21+Lookups!Y21+Lookups!Z21)/Lookups!AA21)=0,1,(1-(Lookups!I21+Lookups!J21+Lookups!K21)/Lookups!L21)/(1-(Lookups!X21+Lookups!Y21+Lookups!Z21)/Lookups!AA21))),1)</f>
        <v>0.65408607989611145</v>
      </c>
      <c r="G21" s="31">
        <f>IFERROR(IF(Lookups!U21=0,1,Lookups!F21/Lookups!U21),1)</f>
        <v>1.1828970077063696</v>
      </c>
      <c r="H21" s="31">
        <f>IFERROR(IF((Lookups!Y21+Lookups!AC21)=0,1,IF((Lookups!J21+Lookups!N21)=0,1,(Lookups!AC21/(Lookups!Y21+Lookups!AC21))/(Lookups!N21/(Lookups!J21+Lookups!N21)))),1)</f>
        <v>0.47628516033933216</v>
      </c>
      <c r="I21" s="31">
        <f>IFERROR(IF(Lookups!U21=0,1,IF(Lookups!AB21=0,1,(Lookups!M21/Lookups!F21)/(Lookups!AB21/Lookups!U21))),1)</f>
        <v>0.80140290191320251</v>
      </c>
      <c r="J21" s="31">
        <f>IFERROR(IF(Lookups!L21=0,1,(Lookups!O21-Lookups!P21)/Lookups!L21),1)</f>
        <v>6.3387159102173046E-2</v>
      </c>
      <c r="K21" s="31">
        <f>IFERROR(IF(Lookups!AA21=0,1,IF((Lookups!AF21+Lookups!AG21)=0,1,((Lookups!Q21+Lookups!R21)/Lookups!L21)/((Lookups!AF21+Lookups!AG21)/Lookups!AA21))),1)</f>
        <v>1.1291386998231112</v>
      </c>
      <c r="L21" s="32">
        <f t="shared" si="0"/>
        <v>-2.8932581070004564</v>
      </c>
      <c r="M21" s="29" t="str">
        <f t="shared" si="1"/>
        <v>Non-Manipulator</v>
      </c>
      <c r="N21" s="33">
        <f>IFERROR(Lookups!O21/Lookups!L21,"")</f>
        <v>8.8121537246367045E-3</v>
      </c>
      <c r="O21" s="34">
        <f>IFERROR(Lookups!I21/Lookups!Q21,"")</f>
        <v>0.8594449932732422</v>
      </c>
      <c r="P21" s="34">
        <f>IFERROR(Lookups!S21/Lookups!T21,"")</f>
        <v>7.2585676509879491</v>
      </c>
      <c r="Q21" s="33">
        <f>IFERROR((Lookups!L21-Lookups!AA21)/Lookups!AA21,"")</f>
        <v>0.58295350121380474</v>
      </c>
    </row>
    <row r="22" spans="1:17" ht="15" customHeight="1" x14ac:dyDescent="0.3">
      <c r="A22" s="27" t="s">
        <v>22</v>
      </c>
      <c r="B22" s="27" t="s">
        <v>23</v>
      </c>
      <c r="C22" s="28">
        <v>2021</v>
      </c>
      <c r="D22" s="31">
        <f>IFERROR(IF(Lookups!U22=0,1,IF(Lookups!W22=0,1,(Lookups!H22/Lookups!F22)/(Lookups!W22/Lookups!U22))),1)</f>
        <v>2.0158930939266009</v>
      </c>
      <c r="E22" s="31">
        <f>IFERROR(IF(Lookups!U22=0,1,IF(Lookups!F22=0,1,((Lookups!U22-Lookups!V22)/Lookups!U22)/((Lookups!F22-Lookups!G22)/Lookups!F22))),1)</f>
        <v>0.95689958051430291</v>
      </c>
      <c r="F22" s="31">
        <f>IFERROR(IF(Lookups!AA22=0,1,IF((1-(Lookups!X22+Lookups!Y22+Lookups!Z22)/Lookups!AA22)=0,1,(1-(Lookups!I22+Lookups!J22+Lookups!K22)/Lookups!L22)/(1-(Lookups!X22+Lookups!Y22+Lookups!Z22)/Lookups!AA22))),1)</f>
        <v>0.75445817212913358</v>
      </c>
      <c r="G22" s="31">
        <f>IFERROR(IF(Lookups!U22=0,1,Lookups!F22/Lookups!U22),1)</f>
        <v>1.3997606865131378</v>
      </c>
      <c r="H22" s="31">
        <f>IFERROR(IF((Lookups!Y22+Lookups!AC22)=0,1,IF((Lookups!J22+Lookups!N22)=0,1,(Lookups!AC22/(Lookups!Y22+Lookups!AC22))/(Lookups!N22/(Lookups!J22+Lookups!N22)))),1)</f>
        <v>0.81080635387867328</v>
      </c>
      <c r="I22" s="31">
        <f>IFERROR(IF(Lookups!U22=0,1,IF(Lookups!AB22=0,1,(Lookups!M22/Lookups!F22)/(Lookups!AB22/Lookups!U22))),1)</f>
        <v>0.84373858206977592</v>
      </c>
      <c r="J22" s="31">
        <f>IFERROR(IF(Lookups!L22=0,1,(Lookups!O22-Lookups!P22)/Lookups!L22),1)</f>
        <v>-0.1495370123269929</v>
      </c>
      <c r="K22" s="31">
        <f>IFERROR(IF(Lookups!AA22=0,1,IF((Lookups!AF22+Lookups!AG22)=0,1,((Lookups!Q22+Lookups!R22)/Lookups!L22)/((Lookups!AF22+Lookups!AG22)/Lookups!AA22))),1)</f>
        <v>1.0038551303187675</v>
      </c>
      <c r="L22" s="32">
        <f t="shared" si="0"/>
        <v>-2.0065723548782772</v>
      </c>
      <c r="M22" s="29" t="str">
        <f t="shared" si="1"/>
        <v>Likely Manipulator</v>
      </c>
      <c r="N22" s="33">
        <f>IFERROR(Lookups!O22/Lookups!L22,"")</f>
        <v>-2.506448544611203E-2</v>
      </c>
      <c r="O22" s="34">
        <f>IFERROR(Lookups!I22/Lookups!Q22,"")</f>
        <v>0.69470557295178337</v>
      </c>
      <c r="P22" s="34">
        <f>IFERROR(Lookups!S22/Lookups!T22,"")</f>
        <v>11.349907566453927</v>
      </c>
      <c r="Q22" s="33">
        <f>IFERROR((Lookups!L22-Lookups!AA22)/Lookups!AA22,"")</f>
        <v>0.19044622141105028</v>
      </c>
    </row>
    <row r="23" spans="1:17" ht="15" customHeight="1" x14ac:dyDescent="0.3">
      <c r="A23" s="27" t="s">
        <v>22</v>
      </c>
      <c r="B23" s="27" t="s">
        <v>23</v>
      </c>
      <c r="C23" s="28">
        <v>2022</v>
      </c>
      <c r="D23" s="31">
        <f>IFERROR(IF(Lookups!U23=0,1,IF(Lookups!W23=0,1,(Lookups!H23/Lookups!F23)/(Lookups!W23/Lookups!U23))),1)</f>
        <v>1.4558246731083897</v>
      </c>
      <c r="E23" s="31">
        <f>IFERROR(IF(Lookups!U23=0,1,IF(Lookups!F23=0,1,((Lookups!U23-Lookups!V23)/Lookups!U23)/((Lookups!F23-Lookups!G23)/Lookups!F23))),1)</f>
        <v>1.0142201032009901</v>
      </c>
      <c r="F23" s="31">
        <f>IFERROR(IF(Lookups!AA23=0,1,IF((1-(Lookups!X23+Lookups!Y23+Lookups!Z23)/Lookups!AA23)=0,1,(1-(Lookups!I23+Lookups!J23+Lookups!K23)/Lookups!L23)/(1-(Lookups!X23+Lookups!Y23+Lookups!Z23)/Lookups!AA23))),1)</f>
        <v>0.39339786159877183</v>
      </c>
      <c r="G23" s="31">
        <f>IFERROR(IF(Lookups!U23=0,1,Lookups!F23/Lookups!U23),1)</f>
        <v>1.3099352017035808</v>
      </c>
      <c r="H23" s="31">
        <f>IFERROR(IF((Lookups!Y23+Lookups!AC23)=0,1,IF((Lookups!J23+Lookups!N23)=0,1,(Lookups!AC23/(Lookups!Y23+Lookups!AC23))/(Lookups!N23/(Lookups!J23+Lookups!N23)))),1)</f>
        <v>0.50495006069432991</v>
      </c>
      <c r="I23" s="31">
        <f>IFERROR(IF(Lookups!U23=0,1,IF(Lookups!AB23=0,1,(Lookups!M23/Lookups!F23)/(Lookups!AB23/Lookups!U23))),1)</f>
        <v>1.2610424044348614</v>
      </c>
      <c r="J23" s="31">
        <f>IFERROR(IF(Lookups!L23=0,1,(Lookups!O23-Lookups!P23)/Lookups!L23),1)</f>
        <v>-9.1482192065562559E-2</v>
      </c>
      <c r="K23" s="31">
        <f>IFERROR(IF(Lookups!AA23=0,1,IF((Lookups!AF23+Lookups!AG23)=0,1,((Lookups!Q23+Lookups!R23)/Lookups!L23)/((Lookups!AF23+Lookups!AG23)/Lookups!AA23))),1)</f>
        <v>1.0870518824963262</v>
      </c>
      <c r="L23" s="32">
        <f t="shared" si="0"/>
        <v>-2.580079329078675</v>
      </c>
      <c r="M23" s="29" t="str">
        <f t="shared" si="1"/>
        <v>Non-Manipulator</v>
      </c>
      <c r="N23" s="33">
        <f>IFERROR(Lookups!O23/Lookups!L23,"")</f>
        <v>-7.2156644471487036E-2</v>
      </c>
      <c r="O23" s="34">
        <f>IFERROR(Lookups!I23/Lookups!Q23,"")</f>
        <v>1.1663486053150467</v>
      </c>
      <c r="P23" s="34">
        <f>IFERROR(Lookups!S23/Lookups!T23,"")</f>
        <v>-711.95148448545274</v>
      </c>
      <c r="Q23" s="33">
        <f>IFERROR((Lookups!L23-Lookups!AA23)/Lookups!AA23,"")</f>
        <v>0.113444857164766</v>
      </c>
    </row>
    <row r="24" spans="1:17" ht="15" customHeight="1" thickBot="1" x14ac:dyDescent="0.35">
      <c r="A24" s="81" t="s">
        <v>22</v>
      </c>
      <c r="B24" s="81" t="s">
        <v>23</v>
      </c>
      <c r="C24" s="82">
        <v>2023</v>
      </c>
      <c r="D24" s="101">
        <f>IFERROR(IF(Lookups!U24=0,1,IF(Lookups!W24=0,1,(Lookups!H24/Lookups!F24)/(Lookups!W24/Lookups!U24))),1)</f>
        <v>0.52767956410094941</v>
      </c>
      <c r="E24" s="101">
        <f>IFERROR(IF(Lookups!U24=0,1,IF(Lookups!F24=0,1,((Lookups!U24-Lookups!V24)/Lookups!U24)/((Lookups!F24-Lookups!G24)/Lookups!F24))),1)</f>
        <v>1.0996805462028985</v>
      </c>
      <c r="F24" s="101">
        <f>IFERROR(IF(Lookups!AA24=0,1,IF((1-(Lookups!X24+Lookups!Y24+Lookups!Z24)/Lookups!AA24)=0,1,(1-(Lookups!I24+Lookups!J24+Lookups!K24)/Lookups!L24)/(1-(Lookups!X24+Lookups!Y24+Lookups!Z24)/Lookups!AA24))),1)</f>
        <v>0.67794667053278235</v>
      </c>
      <c r="G24" s="101">
        <f>IFERROR(IF(Lookups!U24=0,1,Lookups!F24/Lookups!U24),1)</f>
        <v>1.6722802636827607</v>
      </c>
      <c r="H24" s="101">
        <f>IFERROR(IF((Lookups!Y24+Lookups!AC24)=0,1,IF((Lookups!J24+Lookups!N24)=0,1,(Lookups!AC24/(Lookups!Y24+Lookups!AC24))/(Lookups!N24/(Lookups!J24+Lookups!N24)))),1)</f>
        <v>1.1715970096371584</v>
      </c>
      <c r="I24" s="101">
        <f>IFERROR(IF(Lookups!U24=0,1,IF(Lookups!AB24=0,1,(Lookups!M24/Lookups!F24)/(Lookups!AB24/Lookups!U24))),1)</f>
        <v>0.8837082049038979</v>
      </c>
      <c r="J24" s="101">
        <f>IFERROR(IF(Lookups!L24=0,1,(Lookups!O24-Lookups!P24)/Lookups!L24),1)</f>
        <v>-8.850050623339803E-2</v>
      </c>
      <c r="K24" s="101">
        <f>IFERROR(IF(Lookups!AA24=0,1,IF((Lookups!AF24+Lookups!AG24)=0,1,((Lookups!Q24+Lookups!R24)/Lookups!L24)/((Lookups!AF24+Lookups!AG24)/Lookups!AA24))),1)</f>
        <v>0.90161473599970599</v>
      </c>
      <c r="L24" s="102">
        <f t="shared" si="0"/>
        <v>-2.7345250650048993</v>
      </c>
      <c r="M24" s="83" t="str">
        <f t="shared" si="1"/>
        <v>Non-Manipulator</v>
      </c>
      <c r="N24" s="103">
        <f>IFERROR(Lookups!O24/Lookups!L24,"")</f>
        <v>0.10152746626238149</v>
      </c>
      <c r="O24" s="104">
        <f>IFERROR(Lookups!I24/Lookups!Q24,"")</f>
        <v>1.1823294990970716</v>
      </c>
      <c r="P24" s="104">
        <f>IFERROR(Lookups!S24/Lookups!T24,"")</f>
        <v>10.451877539623917</v>
      </c>
      <c r="Q24" s="103">
        <f>IFERROR((Lookups!L24-Lookups!AA24)/Lookups!AA24,"")</f>
        <v>0.11396071182127498</v>
      </c>
    </row>
    <row r="25" spans="1:17" ht="15" customHeight="1" x14ac:dyDescent="0.3">
      <c r="A25" s="85" t="s">
        <v>25</v>
      </c>
      <c r="B25" s="85" t="s">
        <v>26</v>
      </c>
      <c r="C25" s="86">
        <v>2019</v>
      </c>
      <c r="D25" s="105">
        <f>IFERROR(IF(Lookups!U25=0,1,IF(Lookups!W25=0,1,(Lookups!H25/Lookups!F25)/(Lookups!W25/Lookups!U25))),1)</f>
        <v>0.3456424327050065</v>
      </c>
      <c r="E25" s="105">
        <f>IFERROR(IF(Lookups!U25=0,1,IF(Lookups!F25=0,1,((Lookups!U25-Lookups!V25)/Lookups!U25)/((Lookups!F25-Lookups!G25)/Lookups!F25))),1)</f>
        <v>1.0763778585359316</v>
      </c>
      <c r="F25" s="105">
        <f>IFERROR(IF(Lookups!AA25=0,1,IF((1-(Lookups!X25+Lookups!Y25+Lookups!Z25)/Lookups!AA25)=0,1,(1-(Lookups!I25+Lookups!J25+Lookups!K25)/Lookups!L25)/(1-(Lookups!X25+Lookups!Y25+Lookups!Z25)/Lookups!AA25))),1)</f>
        <v>1</v>
      </c>
      <c r="G25" s="105">
        <f>IFERROR(IF(Lookups!U25=0,1,Lookups!F25/Lookups!U25),1)</f>
        <v>1.0059668043306722</v>
      </c>
      <c r="H25" s="105">
        <f>IFERROR(IF((Lookups!Y25+Lookups!AC25)=0,1,IF((Lookups!J25+Lookups!N25)=0,1,(Lookups!AC25/(Lookups!Y25+Lookups!AC25))/(Lookups!N25/(Lookups!J25+Lookups!N25)))),1)</f>
        <v>1.2070392257560947</v>
      </c>
      <c r="I25" s="105">
        <f>IFERROR(IF(Lookups!U25=0,1,IF(Lookups!AB25=0,1,(Lookups!M25/Lookups!F25)/(Lookups!AB25/Lookups!U25))),1)</f>
        <v>1.2945881804927681</v>
      </c>
      <c r="J25" s="105">
        <f>IFERROR(IF(Lookups!L25=0,1,(Lookups!O25-Lookups!P25)/Lookups!L25),1)</f>
        <v>-3.1060573639267789E-2</v>
      </c>
      <c r="K25" s="105">
        <f>IFERROR(IF(Lookups!AA25=0,1,IF((Lookups!AF25+Lookups!AG25)=0,1,((Lookups!Q25+Lookups!R25)/Lookups!L25)/((Lookups!AF25+Lookups!AG25)/Lookups!AA25))),1)</f>
        <v>0.88237236408752984</v>
      </c>
      <c r="L25" s="106">
        <f t="shared" si="0"/>
        <v>-3.1700869063390242</v>
      </c>
      <c r="M25" s="87" t="str">
        <f t="shared" si="1"/>
        <v>Non-Manipulator</v>
      </c>
      <c r="N25" s="107">
        <f>IFERROR(Lookups!O25/Lookups!L25,"")</f>
        <v>-2.3040092332814927E-2</v>
      </c>
      <c r="O25" s="108">
        <f>IFERROR(Lookups!I25/Lookups!Q25,"")</f>
        <v>0.26784986506596914</v>
      </c>
      <c r="P25" s="108">
        <f>IFERROR(Lookups!S25/Lookups!T25,"")</f>
        <v>-7.5146535444063147</v>
      </c>
      <c r="Q25" s="107">
        <f>IFERROR((Lookups!L25-Lookups!AA25)/Lookups!AA25,"")</f>
        <v>0.17291546521113674</v>
      </c>
    </row>
    <row r="26" spans="1:17" ht="15" customHeight="1" x14ac:dyDescent="0.3">
      <c r="A26" s="27" t="s">
        <v>25</v>
      </c>
      <c r="B26" s="27" t="s">
        <v>26</v>
      </c>
      <c r="C26" s="28">
        <v>2020</v>
      </c>
      <c r="D26" s="31">
        <f>IFERROR(IF(Lookups!U26=0,1,IF(Lookups!W26=0,1,(Lookups!H26/Lookups!F26)/(Lookups!W26/Lookups!U26))),1)</f>
        <v>0.49961932199597719</v>
      </c>
      <c r="E26" s="31">
        <f>IFERROR(IF(Lookups!U26=0,1,IF(Lookups!F26=0,1,((Lookups!U26-Lookups!V26)/Lookups!U26)/((Lookups!F26-Lookups!G26)/Lookups!F26))),1)</f>
        <v>0.82447455587662155</v>
      </c>
      <c r="F26" s="31">
        <f>IFERROR(IF(Lookups!AA26=0,1,IF((1-(Lookups!X26+Lookups!Y26+Lookups!Z26)/Lookups!AA26)=0,1,(1-(Lookups!I26+Lookups!J26+Lookups!K26)/Lookups!L26)/(1-(Lookups!X26+Lookups!Y26+Lookups!Z26)/Lookups!AA26))),1)</f>
        <v>1</v>
      </c>
      <c r="G26" s="31">
        <f>IFERROR(IF(Lookups!U26=0,1,Lookups!F26/Lookups!U26),1)</f>
        <v>0.47992560569958648</v>
      </c>
      <c r="H26" s="31">
        <f>IFERROR(IF((Lookups!Y26+Lookups!AC26)=0,1,IF((Lookups!J26+Lookups!N26)=0,1,(Lookups!AC26/(Lookups!Y26+Lookups!AC26))/(Lookups!N26/(Lookups!J26+Lookups!N26)))),1)</f>
        <v>0.57469694697359597</v>
      </c>
      <c r="I26" s="31">
        <f>IFERROR(IF(Lookups!U26=0,1,IF(Lookups!AB26=0,1,(Lookups!M26/Lookups!F26)/(Lookups!AB26/Lookups!U26))),1)</f>
        <v>1.8083820687751468</v>
      </c>
      <c r="J26" s="31">
        <f>IFERROR(IF(Lookups!L26=0,1,(Lookups!O26-Lookups!P26)/Lookups!L26),1)</f>
        <v>-0.12227547681438439</v>
      </c>
      <c r="K26" s="31">
        <f>IFERROR(IF(Lookups!AA26=0,1,IF((Lookups!AF26+Lookups!AG26)=0,1,((Lookups!Q26+Lookups!R26)/Lookups!L26)/((Lookups!AF26+Lookups!AG26)/Lookups!AA26))),1)</f>
        <v>1.833288470965559</v>
      </c>
      <c r="L26" s="32">
        <f t="shared" si="0"/>
        <v>-4.5294978709244171</v>
      </c>
      <c r="M26" s="29" t="str">
        <f t="shared" si="1"/>
        <v>Non-Manipulator</v>
      </c>
      <c r="N26" s="33">
        <f>IFERROR(Lookups!O26/Lookups!L26,"")</f>
        <v>-0.12224202248285826</v>
      </c>
      <c r="O26" s="34">
        <f>IFERROR(Lookups!I26/Lookups!Q26,"")</f>
        <v>0.21781409586450975</v>
      </c>
      <c r="P26" s="34">
        <f>IFERROR(Lookups!S26/Lookups!T26,"")</f>
        <v>-4.9962119599212249</v>
      </c>
      <c r="Q26" s="33">
        <f>IFERROR((Lookups!L26-Lookups!AA26)/Lookups!AA26,"")</f>
        <v>4.5106439959599599E-2</v>
      </c>
    </row>
    <row r="27" spans="1:17" ht="15" customHeight="1" x14ac:dyDescent="0.3">
      <c r="A27" s="27" t="s">
        <v>25</v>
      </c>
      <c r="B27" s="27" t="s">
        <v>26</v>
      </c>
      <c r="C27" s="28">
        <v>2021</v>
      </c>
      <c r="D27" s="31">
        <f>IFERROR(IF(Lookups!U27=0,1,IF(Lookups!W27=0,1,(Lookups!H27/Lookups!F27)/(Lookups!W27/Lookups!U27))),1)</f>
        <v>4.7444232274486744</v>
      </c>
      <c r="E27" s="31">
        <f>IFERROR(IF(Lookups!U27=0,1,IF(Lookups!F27=0,1,((Lookups!U27-Lookups!V27)/Lookups!U27)/((Lookups!F27-Lookups!G27)/Lookups!F27))),1)</f>
        <v>1.0485361773312807</v>
      </c>
      <c r="F27" s="31">
        <f>IFERROR(IF(Lookups!AA27=0,1,IF((1-(Lookups!X27+Lookups!Y27+Lookups!Z27)/Lookups!AA27)=0,1,(1-(Lookups!I27+Lookups!J27+Lookups!K27)/Lookups!L27)/(1-(Lookups!X27+Lookups!Y27+Lookups!Z27)/Lookups!AA27))),1)</f>
        <v>0</v>
      </c>
      <c r="G27" s="31">
        <f>IFERROR(IF(Lookups!U27=0,1,Lookups!F27/Lookups!U27),1)</f>
        <v>3.0657668700147105</v>
      </c>
      <c r="H27" s="31">
        <f>IFERROR(IF((Lookups!Y27+Lookups!AC27)=0,1,IF((Lookups!J27+Lookups!N27)=0,1,(Lookups!AC27/(Lookups!Y27+Lookups!AC27))/(Lookups!N27/(Lookups!J27+Lookups!N27)))),1)</f>
        <v>1.0265987814214286</v>
      </c>
      <c r="I27" s="31">
        <f>IFERROR(IF(Lookups!U27=0,1,IF(Lookups!AB27=0,1,(Lookups!M27/Lookups!F27)/(Lookups!AB27/Lookups!U27))),1)</f>
        <v>0.27286360383758762</v>
      </c>
      <c r="J27" s="31">
        <f>IFERROR(IF(Lookups!L27=0,1,(Lookups!O27-Lookups!P27)/Lookups!L27),1)</f>
        <v>-0.12735301447865433</v>
      </c>
      <c r="K27" s="31">
        <f>IFERROR(IF(Lookups!AA27=0,1,IF((Lookups!AF27+Lookups!AG27)=0,1,((Lookups!Q27+Lookups!R27)/Lookups!L27)/((Lookups!AF27+Lookups!AG27)/Lookups!AA27))),1)</f>
        <v>1.0808918700307912</v>
      </c>
      <c r="L27" s="32">
        <f t="shared" si="0"/>
        <v>1.9349504426945261</v>
      </c>
      <c r="M27" s="29" t="str">
        <f t="shared" si="1"/>
        <v>Likely Manipulator</v>
      </c>
      <c r="N27" s="33">
        <f>IFERROR(Lookups!O27/Lookups!L27,"")</f>
        <v>-9.4284100080760685E-2</v>
      </c>
      <c r="O27" s="34">
        <f>IFERROR(Lookups!I27/Lookups!Q27,"")</f>
        <v>0.26092033712809981</v>
      </c>
      <c r="P27" s="34">
        <f>IFERROR(Lookups!S27/Lookups!T27,"")</f>
        <v>-4.2273870776905325</v>
      </c>
      <c r="Q27" s="33">
        <f>IFERROR((Lookups!L27-Lookups!AA27)/Lookups!AA27,"")</f>
        <v>4.9362810389412481E-2</v>
      </c>
    </row>
    <row r="28" spans="1:17" ht="15" customHeight="1" x14ac:dyDescent="0.3">
      <c r="A28" s="27" t="s">
        <v>25</v>
      </c>
      <c r="B28" s="27" t="s">
        <v>26</v>
      </c>
      <c r="C28" s="28">
        <v>2022</v>
      </c>
      <c r="D28" s="31">
        <f>IFERROR(IF(Lookups!U28=0,1,IF(Lookups!W28=0,1,(Lookups!H28/Lookups!F28)/(Lookups!W28/Lookups!U28))),1)</f>
        <v>0.52933589291345351</v>
      </c>
      <c r="E28" s="31">
        <f>IFERROR(IF(Lookups!U28=0,1,IF(Lookups!F28=0,1,((Lookups!U28-Lookups!V28)/Lookups!U28)/((Lookups!F28-Lookups!G28)/Lookups!F28))),1)</f>
        <v>1.0021950486840074</v>
      </c>
      <c r="F28" s="31">
        <f>IFERROR(IF(Lookups!AA28=0,1,IF((1-(Lookups!X28+Lookups!Y28+Lookups!Z28)/Lookups!AA28)=0,1,(1-(Lookups!I28+Lookups!J28+Lookups!K28)/Lookups!L28)/(1-(Lookups!X28+Lookups!Y28+Lookups!Z28)/Lookups!AA28))),1)</f>
        <v>1</v>
      </c>
      <c r="G28" s="31">
        <f>IFERROR(IF(Lookups!U28=0,1,Lookups!F28/Lookups!U28),1)</f>
        <v>1.0156449809588313</v>
      </c>
      <c r="H28" s="31">
        <f>IFERROR(IF((Lookups!Y28+Lookups!AC28)=0,1,IF((Lookups!J28+Lookups!N28)=0,1,(Lookups!AC28/(Lookups!Y28+Lookups!AC28))/(Lookups!N28/(Lookups!J28+Lookups!N28)))),1)</f>
        <v>0.94728777191398417</v>
      </c>
      <c r="I28" s="31">
        <f>IFERROR(IF(Lookups!U28=0,1,IF(Lookups!AB28=0,1,(Lookups!M28/Lookups!F28)/(Lookups!AB28/Lookups!U28))),1)</f>
        <v>1.0663938834653501</v>
      </c>
      <c r="J28" s="31">
        <f>IFERROR(IF(Lookups!L28=0,1,(Lookups!O28-Lookups!P28)/Lookups!L28),1)</f>
        <v>-8.7355783038133863E-2</v>
      </c>
      <c r="K28" s="31">
        <f>IFERROR(IF(Lookups!AA28=0,1,IF((Lookups!AF28+Lookups!AG28)=0,1,((Lookups!Q28+Lookups!R28)/Lookups!L28)/((Lookups!AF28+Lookups!AG28)/Lookups!AA28))),1)</f>
        <v>0.59605999920928532</v>
      </c>
      <c r="L28" s="32">
        <f t="shared" si="0"/>
        <v>-3.1920276525619857</v>
      </c>
      <c r="M28" s="29" t="str">
        <f t="shared" si="1"/>
        <v>Non-Manipulator</v>
      </c>
      <c r="N28" s="33">
        <f>IFERROR(Lookups!O28/Lookups!L28,"")</f>
        <v>-8.5546197823012662E-2</v>
      </c>
      <c r="O28" s="34">
        <f>IFERROR(Lookups!I28/Lookups!Q28,"")</f>
        <v>0.27781358470885603</v>
      </c>
      <c r="P28" s="34">
        <f>IFERROR(Lookups!S28/Lookups!T28,"")</f>
        <v>5.3514331127897456</v>
      </c>
      <c r="Q28" s="33">
        <f>IFERROR((Lookups!L28-Lookups!AA28)/Lookups!AA28,"")</f>
        <v>-0.11916305825326287</v>
      </c>
    </row>
    <row r="29" spans="1:17" ht="15" customHeight="1" thickBot="1" x14ac:dyDescent="0.35">
      <c r="A29" s="70" t="s">
        <v>25</v>
      </c>
      <c r="B29" s="70" t="s">
        <v>26</v>
      </c>
      <c r="C29" s="71">
        <v>2023</v>
      </c>
      <c r="D29" s="93">
        <f>IFERROR(IF(Lookups!U29=0,1,IF(Lookups!W29=0,1,(Lookups!H29/Lookups!F29)/(Lookups!W29/Lookups!U29))),1)</f>
        <v>0.80774991700635257</v>
      </c>
      <c r="E29" s="93">
        <f>IFERROR(IF(Lookups!U29=0,1,IF(Lookups!F29=0,1,((Lookups!U29-Lookups!V29)/Lookups!U29)/((Lookups!F29-Lookups!G29)/Lookups!F29))),1)</f>
        <v>0.98569718632771419</v>
      </c>
      <c r="F29" s="93">
        <f>IFERROR(IF(Lookups!AA29=0,1,IF((1-(Lookups!X29+Lookups!Y29+Lookups!Z29)/Lookups!AA29)=0,1,(1-(Lookups!I29+Lookups!J29+Lookups!K29)/Lookups!L29)/(1-(Lookups!X29+Lookups!Y29+Lookups!Z29)/Lookups!AA29))),1)</f>
        <v>1</v>
      </c>
      <c r="G29" s="93">
        <f>IFERROR(IF(Lookups!U29=0,1,Lookups!F29/Lookups!U29),1)</f>
        <v>0.76122609806265296</v>
      </c>
      <c r="H29" s="93">
        <f>IFERROR(IF((Lookups!Y29+Lookups!AC29)=0,1,IF((Lookups!J29+Lookups!N29)=0,1,(Lookups!AC29/(Lookups!Y29+Lookups!AC29))/(Lookups!N29/(Lookups!J29+Lookups!N29)))),1)</f>
        <v>0.95931808545218011</v>
      </c>
      <c r="I29" s="93">
        <f>IFERROR(IF(Lookups!U29=0,1,IF(Lookups!AB29=0,1,(Lookups!M29/Lookups!F29)/(Lookups!AB29/Lookups!U29))),1)</f>
        <v>1.0928466637055594</v>
      </c>
      <c r="J29" s="93">
        <f>IFERROR(IF(Lookups!L29=0,1,(Lookups!O29-Lookups!P29)/Lookups!L29),1)</f>
        <v>-0.23344488315119347</v>
      </c>
      <c r="K29" s="93">
        <f>IFERROR(IF(Lookups!AA29=0,1,IF((Lookups!AF29+Lookups!AG29)=0,1,((Lookups!Q29+Lookups!R29)/Lookups!L29)/((Lookups!AF29+Lookups!AG29)/Lookups!AA29))),1)</f>
        <v>1.1009726029016642</v>
      </c>
      <c r="L29" s="94">
        <f t="shared" si="0"/>
        <v>-4.0233629782448705</v>
      </c>
      <c r="M29" s="72" t="str">
        <f t="shared" si="1"/>
        <v>Non-Manipulator</v>
      </c>
      <c r="N29" s="95">
        <f>IFERROR(Lookups!O29/Lookups!L29,"")</f>
        <v>-9.3986765656762616E-2</v>
      </c>
      <c r="O29" s="96">
        <f>IFERROR(Lookups!I29/Lookups!Q29,"")</f>
        <v>0.2177155786050973</v>
      </c>
      <c r="P29" s="96">
        <f>IFERROR(Lookups!S29/Lookups!T29,"")</f>
        <v>11.945217309994348</v>
      </c>
      <c r="Q29" s="95">
        <f>IFERROR((Lookups!L29-Lookups!AA29)/Lookups!AA29,"")</f>
        <v>-6.7981650225488216E-2</v>
      </c>
    </row>
    <row r="30" spans="1:17" ht="15" customHeight="1" x14ac:dyDescent="0.3">
      <c r="A30" s="77" t="s">
        <v>28</v>
      </c>
      <c r="B30" s="77" t="s">
        <v>29</v>
      </c>
      <c r="C30" s="78">
        <v>2019</v>
      </c>
      <c r="D30" s="97">
        <f>IFERROR(IF(Lookups!U30=0,1,IF(Lookups!W30=0,1,(Lookups!H30/Lookups!F30)/(Lookups!W30/Lookups!U30))),1)</f>
        <v>1.2611625221095517</v>
      </c>
      <c r="E30" s="97">
        <f>IFERROR(IF(Lookups!U30=0,1,IF(Lookups!F30=0,1,((Lookups!U30-Lookups!V30)/Lookups!U30)/((Lookups!F30-Lookups!G30)/Lookups!F30))),1)</f>
        <v>1.0155436541869431</v>
      </c>
      <c r="F30" s="97">
        <f>IFERROR(IF(Lookups!AA30=0,1,IF((1-(Lookups!X30+Lookups!Y30+Lookups!Z30)/Lookups!AA30)=0,1,(1-(Lookups!I30+Lookups!J30+Lookups!K30)/Lookups!L30)/(1-(Lookups!X30+Lookups!Y30+Lookups!Z30)/Lookups!AA30))),1)</f>
        <v>29.11722328361979</v>
      </c>
      <c r="G30" s="97">
        <f>IFERROR(IF(Lookups!U30=0,1,Lookups!F30/Lookups!U30),1)</f>
        <v>1.1000726559471332</v>
      </c>
      <c r="H30" s="97">
        <f>IFERROR(IF((Lookups!Y30+Lookups!AC30)=0,1,IF((Lookups!J30+Lookups!N30)=0,1,(Lookups!AC30/(Lookups!Y30+Lookups!AC30))/(Lookups!N30/(Lookups!J30+Lookups!N30)))),1)</f>
        <v>1.5263532351401816</v>
      </c>
      <c r="I30" s="97">
        <f>IFERROR(IF(Lookups!U30=0,1,IF(Lookups!AB30=0,1,(Lookups!M30/Lookups!F30)/(Lookups!AB30/Lookups!U30))),1)</f>
        <v>0.62329607717596835</v>
      </c>
      <c r="J30" s="97">
        <f>IFERROR(IF(Lookups!L30=0,1,(Lookups!O30-Lookups!P30)/Lookups!L30),1)</f>
        <v>4.5319688467054621E-2</v>
      </c>
      <c r="K30" s="97">
        <f>IFERROR(IF(Lookups!AA30=0,1,IF((Lookups!AF30+Lookups!AG30)=0,1,((Lookups!Q30+Lookups!R30)/Lookups!L30)/((Lookups!AF30+Lookups!AG30)/Lookups!AA30))),1)</f>
        <v>1.055977481754939</v>
      </c>
      <c r="L30" s="98">
        <f t="shared" si="0"/>
        <v>9.5361694680090707</v>
      </c>
      <c r="M30" s="79" t="str">
        <f t="shared" si="1"/>
        <v>Likely Manipulator</v>
      </c>
      <c r="N30" s="99">
        <f>IFERROR(Lookups!O30/Lookups!L30,"")</f>
        <v>6.6563957649826117E-2</v>
      </c>
      <c r="O30" s="100">
        <f>IFERROR(Lookups!I30/Lookups!Q30,"")</f>
        <v>1.816372905469491</v>
      </c>
      <c r="P30" s="100">
        <f>IFERROR(Lookups!S30/Lookups!T30,"")</f>
        <v>0.44773509097002595</v>
      </c>
      <c r="Q30" s="99">
        <f>IFERROR((Lookups!L30-Lookups!AA30)/Lookups!AA30,"")</f>
        <v>0.15139919485787465</v>
      </c>
    </row>
    <row r="31" spans="1:17" ht="15" customHeight="1" x14ac:dyDescent="0.3">
      <c r="A31" s="27" t="s">
        <v>28</v>
      </c>
      <c r="B31" s="27" t="s">
        <v>29</v>
      </c>
      <c r="C31" s="28">
        <v>2020</v>
      </c>
      <c r="D31" s="31">
        <f>IFERROR(IF(Lookups!U31=0,1,IF(Lookups!W31=0,1,(Lookups!H31/Lookups!F31)/(Lookups!W31/Lookups!U31))),1)</f>
        <v>1.2272360159289244</v>
      </c>
      <c r="E31" s="31">
        <f>IFERROR(IF(Lookups!U31=0,1,IF(Lookups!F31=0,1,((Lookups!U31-Lookups!V31)/Lookups!U31)/((Lookups!F31-Lookups!G31)/Lookups!F31))),1)</f>
        <v>0.94902669457312905</v>
      </c>
      <c r="F31" s="31">
        <f>IFERROR(IF(Lookups!AA31=0,1,IF((1-(Lookups!X31+Lookups!Y31+Lookups!Z31)/Lookups!AA31)=0,1,(1-(Lookups!I31+Lookups!J31+Lookups!K31)/Lookups!L31)/(1-(Lookups!X31+Lookups!Y31+Lookups!Z31)/Lookups!AA31))),1)</f>
        <v>0.79132408013290301</v>
      </c>
      <c r="G31" s="31">
        <f>IFERROR(IF(Lookups!U31=0,1,Lookups!F31/Lookups!U31),1)</f>
        <v>0.87185578992079082</v>
      </c>
      <c r="H31" s="31">
        <f>IFERROR(IF((Lookups!Y31+Lookups!AC31)=0,1,IF((Lookups!J31+Lookups!N31)=0,1,(Lookups!AC31/(Lookups!Y31+Lookups!AC31))/(Lookups!N31/(Lookups!J31+Lookups!N31)))),1)</f>
        <v>0.88475237462383793</v>
      </c>
      <c r="I31" s="31">
        <f>IFERROR(IF(Lookups!U31=0,1,IF(Lookups!AB31=0,1,(Lookups!M31/Lookups!F31)/(Lookups!AB31/Lookups!U31))),1)</f>
        <v>-0.73714935627180644</v>
      </c>
      <c r="J31" s="31">
        <f>IFERROR(IF(Lookups!L31=0,1,(Lookups!O31-Lookups!P31)/Lookups!L31),1)</f>
        <v>-8.6511924300633578E-2</v>
      </c>
      <c r="K31" s="31">
        <f>IFERROR(IF(Lookups!AA31=0,1,IF((Lookups!AF31+Lookups!AG31)=0,1,((Lookups!Q31+Lookups!R31)/Lookups!L31)/((Lookups!AF31+Lookups!AG31)/Lookups!AA31))),1)</f>
        <v>1.4016372373886721</v>
      </c>
      <c r="L31" s="32">
        <f t="shared" si="0"/>
        <v>-2.7470549356960072</v>
      </c>
      <c r="M31" s="29" t="str">
        <f t="shared" si="1"/>
        <v>Non-Manipulator</v>
      </c>
      <c r="N31" s="33">
        <f>IFERROR(Lookups!O31/Lookups!L31,"")</f>
        <v>1.1782180941290815E-3</v>
      </c>
      <c r="O31" s="34">
        <f>IFERROR(Lookups!I31/Lookups!Q31,"")</f>
        <v>1.5406634645162465</v>
      </c>
      <c r="P31" s="34">
        <f>IFERROR(Lookups!S31/Lookups!T31,"")</f>
        <v>0.67721497087714577</v>
      </c>
      <c r="Q31" s="33">
        <f>IFERROR((Lookups!L31-Lookups!AA31)/Lookups!AA31,"")</f>
        <v>0.16080347188407185</v>
      </c>
    </row>
    <row r="32" spans="1:17" ht="15" customHeight="1" x14ac:dyDescent="0.3">
      <c r="A32" s="27" t="s">
        <v>28</v>
      </c>
      <c r="B32" s="27" t="s">
        <v>29</v>
      </c>
      <c r="C32" s="28">
        <v>2021</v>
      </c>
      <c r="D32" s="31">
        <f>IFERROR(IF(Lookups!U32=0,1,IF(Lookups!W32=0,1,(Lookups!H32/Lookups!F32)/(Lookups!W32/Lookups!U32))),1)</f>
        <v>1.1927308189542991</v>
      </c>
      <c r="E32" s="31">
        <f>IFERROR(IF(Lookups!U32=0,1,IF(Lookups!F32=0,1,((Lookups!U32-Lookups!V32)/Lookups!U32)/((Lookups!F32-Lookups!G32)/Lookups!F32))),1)</f>
        <v>0.9667233896515578</v>
      </c>
      <c r="F32" s="31">
        <f>IFERROR(IF(Lookups!AA32=0,1,IF((1-(Lookups!X32+Lookups!Y32+Lookups!Z32)/Lookups!AA32)=0,1,(1-(Lookups!I32+Lookups!J32+Lookups!K32)/Lookups!L32)/(1-(Lookups!X32+Lookups!Y32+Lookups!Z32)/Lookups!AA32))),1)</f>
        <v>1.0255834769573471</v>
      </c>
      <c r="G32" s="31">
        <f>IFERROR(IF(Lookups!U32=0,1,Lookups!F32/Lookups!U32),1)</f>
        <v>1.2530047272590998</v>
      </c>
      <c r="H32" s="31">
        <f>IFERROR(IF((Lookups!Y32+Lookups!AC32)=0,1,IF((Lookups!J32+Lookups!N32)=0,1,(Lookups!AC32/(Lookups!Y32+Lookups!AC32))/(Lookups!N32/(Lookups!J32+Lookups!N32)))),1)</f>
        <v>0.13088699005139487</v>
      </c>
      <c r="I32" s="31">
        <f>IFERROR(IF(Lookups!U32=0,1,IF(Lookups!AB32=0,1,(Lookups!M32/Lookups!F32)/(Lookups!AB32/Lookups!U32))),1)</f>
        <v>1.171946381067632</v>
      </c>
      <c r="J32" s="31">
        <f>IFERROR(IF(Lookups!L32=0,1,(Lookups!O32-Lookups!P32)/Lookups!L32),1)</f>
        <v>-4.6978280571486557E-2</v>
      </c>
      <c r="K32" s="31">
        <f>IFERROR(IF(Lookups!AA32=0,1,IF((Lookups!AF32+Lookups!AG32)=0,1,((Lookups!Q32+Lookups!R32)/Lookups!L32)/((Lookups!AF32+Lookups!AG32)/Lookups!AA32))),1)</f>
        <v>1.4797697380285928</v>
      </c>
      <c r="L32" s="32">
        <f t="shared" si="0"/>
        <v>-2.590460608237195</v>
      </c>
      <c r="M32" s="29" t="str">
        <f t="shared" si="1"/>
        <v>Non-Manipulator</v>
      </c>
      <c r="N32" s="33">
        <f>IFERROR(Lookups!O32/Lookups!L32,"")</f>
        <v>-2.3497013447360042E-2</v>
      </c>
      <c r="O32" s="34">
        <f>IFERROR(Lookups!I32/Lookups!Q32,"")</f>
        <v>1.3409375738522025</v>
      </c>
      <c r="P32" s="34">
        <f>IFERROR(Lookups!S32/Lookups!T32,"")</f>
        <v>1.3170649640214858</v>
      </c>
      <c r="Q32" s="33">
        <f>IFERROR((Lookups!L32-Lookups!AA32)/Lookups!AA32,"")</f>
        <v>0.31016476715292995</v>
      </c>
    </row>
    <row r="33" spans="1:17" ht="15" customHeight="1" x14ac:dyDescent="0.3">
      <c r="A33" s="27" t="s">
        <v>28</v>
      </c>
      <c r="B33" s="27" t="s">
        <v>29</v>
      </c>
      <c r="C33" s="28">
        <v>2022</v>
      </c>
      <c r="D33" s="31">
        <f>IFERROR(IF(Lookups!U33=0,1,IF(Lookups!W33=0,1,(Lookups!H33/Lookups!F33)/(Lookups!W33/Lookups!U33))),1)</f>
        <v>1.7020906010237289</v>
      </c>
      <c r="E33" s="31">
        <f>IFERROR(IF(Lookups!U33=0,1,IF(Lookups!F33=0,1,((Lookups!U33-Lookups!V33)/Lookups!U33)/((Lookups!F33-Lookups!G33)/Lookups!F33))),1)</f>
        <v>0.97334518534122005</v>
      </c>
      <c r="F33" s="31">
        <f>IFERROR(IF(Lookups!AA33=0,1,IF((1-(Lookups!X33+Lookups!Y33+Lookups!Z33)/Lookups!AA33)=0,1,(1-(Lookups!I33+Lookups!J33+Lookups!K33)/Lookups!L33)/(1-(Lookups!X33+Lookups!Y33+Lookups!Z33)/Lookups!AA33))),1)</f>
        <v>2.8978274136264934</v>
      </c>
      <c r="G33" s="31">
        <f>IFERROR(IF(Lookups!U33=0,1,Lookups!F33/Lookups!U33),1)</f>
        <v>1.1470705732810647</v>
      </c>
      <c r="H33" s="31">
        <f>IFERROR(IF((Lookups!Y33+Lookups!AC33)=0,1,IF((Lookups!J33+Lookups!N33)=0,1,(Lookups!AC33/(Lookups!Y33+Lookups!AC33))/(Lookups!N33/(Lookups!J33+Lookups!N33)))),1)</f>
        <v>9.4431993715918932</v>
      </c>
      <c r="I33" s="31">
        <f>IFERROR(IF(Lookups!U33=0,1,IF(Lookups!AB33=0,1,(Lookups!M33/Lookups!F33)/(Lookups!AB33/Lookups!U33))),1)</f>
        <v>0.93530028977310176</v>
      </c>
      <c r="J33" s="31">
        <f>IFERROR(IF(Lookups!L33=0,1,(Lookups!O33-Lookups!P33)/Lookups!L33),1)</f>
        <v>-3.3828716227784814E-2</v>
      </c>
      <c r="K33" s="31">
        <f>IFERROR(IF(Lookups!AA33=0,1,IF((Lookups!AF33+Lookups!AG33)=0,1,((Lookups!Q33+Lookups!R33)/Lookups!L33)/((Lookups!AF33+Lookups!AG33)/Lookups!AA33))),1)</f>
        <v>1.1423229560843515</v>
      </c>
      <c r="L33" s="32">
        <f t="shared" si="0"/>
        <v>-0.17296905470348539</v>
      </c>
      <c r="M33" s="29" t="str">
        <f t="shared" si="1"/>
        <v>Likely Manipulator</v>
      </c>
      <c r="N33" s="33">
        <f>IFERROR(Lookups!O33/Lookups!L33,"")</f>
        <v>-7.1218710406465088E-2</v>
      </c>
      <c r="O33" s="34">
        <f>IFERROR(Lookups!I33/Lookups!Q33,"")</f>
        <v>1.298950407844355</v>
      </c>
      <c r="P33" s="34">
        <f>IFERROR(Lookups!S33/Lookups!T33,"")</f>
        <v>1.8479756581610014</v>
      </c>
      <c r="Q33" s="33">
        <f>IFERROR((Lookups!L33-Lookups!AA33)/Lookups!AA33,"")</f>
        <v>2.1866394196955012E-2</v>
      </c>
    </row>
    <row r="34" spans="1:17" ht="15" customHeight="1" thickBot="1" x14ac:dyDescent="0.35">
      <c r="A34" s="81" t="s">
        <v>28</v>
      </c>
      <c r="B34" s="81" t="s">
        <v>29</v>
      </c>
      <c r="C34" s="82">
        <v>2023</v>
      </c>
      <c r="D34" s="101">
        <f>IFERROR(IF(Lookups!U34=0,1,IF(Lookups!W34=0,1,(Lookups!H34/Lookups!F34)/(Lookups!W34/Lookups!U34))),1)</f>
        <v>0.9336776617062772</v>
      </c>
      <c r="E34" s="101">
        <f>IFERROR(IF(Lookups!U34=0,1,IF(Lookups!F34=0,1,((Lookups!U34-Lookups!V34)/Lookups!U34)/((Lookups!F34-Lookups!G34)/Lookups!F34))),1)</f>
        <v>1.0572154049918812</v>
      </c>
      <c r="F34" s="101">
        <f>IFERROR(IF(Lookups!AA34=0,1,IF((1-(Lookups!X34+Lookups!Y34+Lookups!Z34)/Lookups!AA34)=0,1,(1-(Lookups!I34+Lookups!J34+Lookups!K34)/Lookups!L34)/(1-(Lookups!X34+Lookups!Y34+Lookups!Z34)/Lookups!AA34))),1)</f>
        <v>0.85228851403161443</v>
      </c>
      <c r="G34" s="101">
        <f>IFERROR(IF(Lookups!U34=0,1,Lookups!F34/Lookups!U34),1)</f>
        <v>1.024170388387486</v>
      </c>
      <c r="H34" s="101">
        <f>IFERROR(IF((Lookups!Y34+Lookups!AC34)=0,1,IF((Lookups!J34+Lookups!N34)=0,1,(Lookups!AC34/(Lookups!Y34+Lookups!AC34))/(Lookups!N34/(Lookups!J34+Lookups!N34)))),1)</f>
        <v>0.15715164499380643</v>
      </c>
      <c r="I34" s="101">
        <f>IFERROR(IF(Lookups!U34=0,1,IF(Lookups!AB34=0,1,(Lookups!M34/Lookups!F34)/(Lookups!AB34/Lookups!U34))),1)</f>
        <v>0.70847540633834882</v>
      </c>
      <c r="J34" s="101">
        <f>IFERROR(IF(Lookups!L34=0,1,(Lookups!O34-Lookups!P34)/Lookups!L34),1)</f>
        <v>-5.4265141889030073E-3</v>
      </c>
      <c r="K34" s="101">
        <f>IFERROR(IF(Lookups!AA34=0,1,IF((Lookups!AF34+Lookups!AG34)=0,1,((Lookups!Q34+Lookups!R34)/Lookups!L34)/((Lookups!AF34+Lookups!AG34)/Lookups!AA34))),1)</f>
        <v>0.94426001790444891</v>
      </c>
      <c r="L34" s="102">
        <f t="shared" si="0"/>
        <v>-2.6028712877446423</v>
      </c>
      <c r="M34" s="83" t="str">
        <f t="shared" si="1"/>
        <v>Non-Manipulator</v>
      </c>
      <c r="N34" s="103">
        <f>IFERROR(Lookups!O34/Lookups!L34,"")</f>
        <v>4.0681067344345616E-2</v>
      </c>
      <c r="O34" s="104">
        <f>IFERROR(Lookups!I34/Lookups!Q34,"")</f>
        <v>1.4059072993064909</v>
      </c>
      <c r="P34" s="104">
        <f>IFERROR(Lookups!S34/Lookups!T34,"")</f>
        <v>1.5764870728225902</v>
      </c>
      <c r="Q34" s="103">
        <f>IFERROR((Lookups!L34-Lookups!AA34)/Lookups!AA34,"")</f>
        <v>1.0598226209635997E-2</v>
      </c>
    </row>
    <row r="35" spans="1:17" ht="15" customHeight="1" x14ac:dyDescent="0.3">
      <c r="A35" s="85" t="s">
        <v>30</v>
      </c>
      <c r="B35" s="85" t="s">
        <v>31</v>
      </c>
      <c r="C35" s="86">
        <v>2019</v>
      </c>
      <c r="D35" s="105">
        <f>IFERROR(IF(Lookups!U35=0,1,IF(Lookups!W35=0,1,(Lookups!H35/Lookups!F35)/(Lookups!W35/Lookups!U35))),1)</f>
        <v>1.2583681325299541</v>
      </c>
      <c r="E35" s="105">
        <f>IFERROR(IF(Lookups!U35=0,1,IF(Lookups!F35=0,1,((Lookups!U35-Lookups!V35)/Lookups!U35)/((Lookups!F35-Lookups!G35)/Lookups!F35))),1)</f>
        <v>0.999927232321701</v>
      </c>
      <c r="F35" s="105">
        <f>IFERROR(IF(Lookups!AA35=0,1,IF((1-(Lookups!X35+Lookups!Y35+Lookups!Z35)/Lookups!AA35)=0,1,(1-(Lookups!I35+Lookups!J35+Lookups!K35)/Lookups!L35)/(1-(Lookups!X35+Lookups!Y35+Lookups!Z35)/Lookups!AA35))),1)</f>
        <v>0.75080071302240259</v>
      </c>
      <c r="G35" s="105">
        <f>IFERROR(IF(Lookups!U35=0,1,Lookups!F35/Lookups!U35),1)</f>
        <v>1.0993047687216539</v>
      </c>
      <c r="H35" s="105">
        <f>IFERROR(IF((Lookups!Y35+Lookups!AC35)=0,1,IF((Lookups!J35+Lookups!N35)=0,1,(Lookups!AC35/(Lookups!Y35+Lookups!AC35))/(Lookups!N35/(Lookups!J35+Lookups!N35)))),1)</f>
        <v>1.1389365542256218</v>
      </c>
      <c r="I35" s="105">
        <f>IFERROR(IF(Lookups!U35=0,1,IF(Lookups!AB35=0,1,(Lookups!M35/Lookups!F35)/(Lookups!AB35/Lookups!U35))),1)</f>
        <v>1.110136972771681</v>
      </c>
      <c r="J35" s="105">
        <f>IFERROR(IF(Lookups!L35=0,1,(Lookups!O35-Lookups!P35)/Lookups!L35),1)</f>
        <v>-9.1096302326005213E-2</v>
      </c>
      <c r="K35" s="105">
        <f>IFERROR(IF(Lookups!AA35=0,1,IF((Lookups!AF35+Lookups!AG35)=0,1,((Lookups!Q35+Lookups!R35)/Lookups!L35)/((Lookups!AF35+Lookups!AG35)/Lookups!AA35))),1)</f>
        <v>1.1630268106421477</v>
      </c>
      <c r="L35" s="106">
        <f t="shared" si="0"/>
        <v>-2.736951618889961</v>
      </c>
      <c r="M35" s="87" t="str">
        <f t="shared" si="1"/>
        <v>Non-Manipulator</v>
      </c>
      <c r="N35" s="107">
        <f>IFERROR(Lookups!O35/Lookups!L35,"")</f>
        <v>2.7406039473444419E-2</v>
      </c>
      <c r="O35" s="108">
        <f>IFERROR(Lookups!I35/Lookups!Q35,"")</f>
        <v>1.1274495351767755</v>
      </c>
      <c r="P35" s="108">
        <f>IFERROR(Lookups!S35/Lookups!T35,"")</f>
        <v>1.1864463622206209</v>
      </c>
      <c r="Q35" s="107">
        <f>IFERROR((Lookups!L35-Lookups!AA35)/Lookups!AA35,"")</f>
        <v>0.16093429339125651</v>
      </c>
    </row>
    <row r="36" spans="1:17" ht="15" customHeight="1" x14ac:dyDescent="0.3">
      <c r="A36" s="27" t="s">
        <v>30</v>
      </c>
      <c r="B36" s="27" t="s">
        <v>31</v>
      </c>
      <c r="C36" s="28">
        <v>2020</v>
      </c>
      <c r="D36" s="31">
        <f>IFERROR(IF(Lookups!U36=0,1,IF(Lookups!W36=0,1,(Lookups!H36/Lookups!F36)/(Lookups!W36/Lookups!U36))),1)</f>
        <v>0.55343745152652268</v>
      </c>
      <c r="E36" s="31">
        <f>IFERROR(IF(Lookups!U36=0,1,IF(Lookups!F36=0,1,((Lookups!U36-Lookups!V36)/Lookups!U36)/((Lookups!F36-Lookups!G36)/Lookups!F36))),1)</f>
        <v>1.0013953188999181</v>
      </c>
      <c r="F36" s="31">
        <f>IFERROR(IF(Lookups!AA36=0,1,IF((1-(Lookups!X36+Lookups!Y36+Lookups!Z36)/Lookups!AA36)=0,1,(1-(Lookups!I36+Lookups!J36+Lookups!K36)/Lookups!L36)/(1-(Lookups!X36+Lookups!Y36+Lookups!Z36)/Lookups!AA36))),1)</f>
        <v>16.567630405384513</v>
      </c>
      <c r="G36" s="31">
        <f>IFERROR(IF(Lookups!U36=0,1,Lookups!F36/Lookups!U36),1)</f>
        <v>1.0695043205704116</v>
      </c>
      <c r="H36" s="31">
        <f>IFERROR(IF((Lookups!Y36+Lookups!AC36)=0,1,IF((Lookups!J36+Lookups!N36)=0,1,(Lookups!AC36/(Lookups!Y36+Lookups!AC36))/(Lookups!N36/(Lookups!J36+Lookups!N36)))),1)</f>
        <v>1.1210048156521302</v>
      </c>
      <c r="I36" s="31">
        <f>IFERROR(IF(Lookups!U36=0,1,IF(Lookups!AB36=0,1,(Lookups!M36/Lookups!F36)/(Lookups!AB36/Lookups!U36))),1)</f>
        <v>0.89169157775886421</v>
      </c>
      <c r="J36" s="31">
        <f>IFERROR(IF(Lookups!L36=0,1,(Lookups!O36-Lookups!P36)/Lookups!L36),1)</f>
        <v>-0.15726707764286696</v>
      </c>
      <c r="K36" s="31">
        <f>IFERROR(IF(Lookups!AA36=0,1,IF((Lookups!AF36+Lookups!AG36)=0,1,((Lookups!Q36+Lookups!R36)/Lookups!L36)/((Lookups!AF36+Lookups!AG36)/Lookups!AA36))),1)</f>
        <v>1.0109185673055607</v>
      </c>
      <c r="L36" s="32">
        <f t="shared" si="0"/>
        <v>2.7543412961332856</v>
      </c>
      <c r="M36" s="29" t="str">
        <f t="shared" si="1"/>
        <v>Likely Manipulator</v>
      </c>
      <c r="N36" s="33">
        <f>IFERROR(Lookups!O36/Lookups!L36,"")</f>
        <v>1.6867784155632608E-2</v>
      </c>
      <c r="O36" s="34">
        <f>IFERROR(Lookups!I36/Lookups!Q36,"")</f>
        <v>0.79881501849487713</v>
      </c>
      <c r="P36" s="34">
        <f>IFERROR(Lookups!S36/Lookups!T36,"")</f>
        <v>1.365834203218246</v>
      </c>
      <c r="Q36" s="33">
        <f>IFERROR((Lookups!L36-Lookups!AA36)/Lookups!AA36,"")</f>
        <v>9.4545217079645485E-2</v>
      </c>
    </row>
    <row r="37" spans="1:17" ht="15" customHeight="1" x14ac:dyDescent="0.3">
      <c r="A37" s="27" t="s">
        <v>30</v>
      </c>
      <c r="B37" s="27" t="s">
        <v>31</v>
      </c>
      <c r="C37" s="28">
        <v>2021</v>
      </c>
      <c r="D37" s="31">
        <f>IFERROR(IF(Lookups!U37=0,1,IF(Lookups!W37=0,1,(Lookups!H37/Lookups!F37)/(Lookups!W37/Lookups!U37))),1)</f>
        <v>1.3484697559736261</v>
      </c>
      <c r="E37" s="31">
        <f>IFERROR(IF(Lookups!U37=0,1,IF(Lookups!F37=0,1,((Lookups!U37-Lookups!V37)/Lookups!U37)/((Lookups!F37-Lookups!G37)/Lookups!F37))),1)</f>
        <v>1.018184468854352</v>
      </c>
      <c r="F37" s="31">
        <f>IFERROR(IF(Lookups!AA37=0,1,IF((1-(Lookups!X37+Lookups!Y37+Lookups!Z37)/Lookups!AA37)=0,1,(1-(Lookups!I37+Lookups!J37+Lookups!K37)/Lookups!L37)/(1-(Lookups!X37+Lookups!Y37+Lookups!Z37)/Lookups!AA37))),1)</f>
        <v>0.72705244045759421</v>
      </c>
      <c r="G37" s="31">
        <f>IFERROR(IF(Lookups!U37=0,1,Lookups!F37/Lookups!U37),1)</f>
        <v>1.5075813417637198</v>
      </c>
      <c r="H37" s="31">
        <f>IFERROR(IF((Lookups!Y37+Lookups!AC37)=0,1,IF((Lookups!J37+Lookups!N37)=0,1,(Lookups!AC37/(Lookups!Y37+Lookups!AC37))/(Lookups!N37/(Lookups!J37+Lookups!N37)))),1)</f>
        <v>1.035849156215219</v>
      </c>
      <c r="I37" s="31">
        <f>IFERROR(IF(Lookups!U37=0,1,IF(Lookups!AB37=0,1,(Lookups!M37/Lookups!F37)/(Lookups!AB37/Lookups!U37))),1)</f>
        <v>0.6051438398232809</v>
      </c>
      <c r="J37" s="31">
        <f>IFERROR(IF(Lookups!L37=0,1,(Lookups!O37-Lookups!P37)/Lookups!L37),1)</f>
        <v>-9.367654464897042E-2</v>
      </c>
      <c r="K37" s="31">
        <f>IFERROR(IF(Lookups!AA37=0,1,IF((Lookups!AF37+Lookups!AG37)=0,1,((Lookups!Q37+Lookups!R37)/Lookups!L37)/((Lookups!AF37+Lookups!AG37)/Lookups!AA37))),1)</f>
        <v>1.0334499829775468</v>
      </c>
      <c r="L37" s="32">
        <f t="shared" ref="L37:L68" si="2">IFERROR(-4.84+0.92*D37+0.528*E37+0.404*F37+0.892*G37+0.115*H37-0.172*I37+4.679*J37-0.327*K37,"")</f>
        <v>-2.1845274664821046</v>
      </c>
      <c r="M37" s="29" t="str">
        <f t="shared" ref="M37:M68" si="3">IF(L37="","",IF(L37&gt;-2.22,"Likely Manipulator","Non-Manipulator"))</f>
        <v>Likely Manipulator</v>
      </c>
      <c r="N37" s="33">
        <f>IFERROR(Lookups!O37/Lookups!L37,"")</f>
        <v>8.0948150495408072E-2</v>
      </c>
      <c r="O37" s="34">
        <f>IFERROR(Lookups!I37/Lookups!Q37,"")</f>
        <v>0.87303904536947552</v>
      </c>
      <c r="P37" s="34">
        <f>IFERROR(Lookups!S37/Lookups!T37,"")</f>
        <v>1.3763695627618777</v>
      </c>
      <c r="Q37" s="33">
        <f>IFERROR((Lookups!L37-Lookups!AA37)/Lookups!AA37,"")</f>
        <v>0.22601193523725482</v>
      </c>
    </row>
    <row r="38" spans="1:17" ht="15" customHeight="1" x14ac:dyDescent="0.3">
      <c r="A38" s="27" t="s">
        <v>30</v>
      </c>
      <c r="B38" s="27" t="s">
        <v>31</v>
      </c>
      <c r="C38" s="28">
        <v>2022</v>
      </c>
      <c r="D38" s="31">
        <f>IFERROR(IF(Lookups!U38=0,1,IF(Lookups!W38=0,1,(Lookups!H38/Lookups!F38)/(Lookups!W38/Lookups!U38))),1)</f>
        <v>0.84753226471055565</v>
      </c>
      <c r="E38" s="31">
        <f>IFERROR(IF(Lookups!U38=0,1,IF(Lookups!F38=0,1,((Lookups!U38-Lookups!V38)/Lookups!U38)/((Lookups!F38-Lookups!G38)/Lookups!F38))),1)</f>
        <v>0.9489578065690335</v>
      </c>
      <c r="F38" s="31">
        <f>IFERROR(IF(Lookups!AA38=0,1,IF((1-(Lookups!X38+Lookups!Y38+Lookups!Z38)/Lookups!AA38)=0,1,(1-(Lookups!I38+Lookups!J38+Lookups!K38)/Lookups!L38)/(1-(Lookups!X38+Lookups!Y38+Lookups!Z38)/Lookups!AA38))),1)</f>
        <v>0.75905339055176069</v>
      </c>
      <c r="G38" s="31">
        <f>IFERROR(IF(Lookups!U38=0,1,Lookups!F38/Lookups!U38),1)</f>
        <v>1.1760554708466584</v>
      </c>
      <c r="H38" s="31">
        <f>IFERROR(IF((Lookups!Y38+Lookups!AC38)=0,1,IF((Lookups!J38+Lookups!N38)=0,1,(Lookups!AC38/(Lookups!Y38+Lookups!AC38))/(Lookups!N38/(Lookups!J38+Lookups!N38)))),1)</f>
        <v>0.92768589822919201</v>
      </c>
      <c r="I38" s="31">
        <f>IFERROR(IF(Lookups!U38=0,1,IF(Lookups!AB38=0,1,(Lookups!M38/Lookups!F38)/(Lookups!AB38/Lookups!U38))),1)</f>
        <v>1.2548981934281811</v>
      </c>
      <c r="J38" s="31">
        <f>IFERROR(IF(Lookups!L38=0,1,(Lookups!O38-Lookups!P38)/Lookups!L38),1)</f>
        <v>-0.11369854351145606</v>
      </c>
      <c r="K38" s="31">
        <f>IFERROR(IF(Lookups!AA38=0,1,IF((Lookups!AF38+Lookups!AG38)=0,1,((Lookups!Q38+Lookups!R38)/Lookups!L38)/((Lookups!AF38+Lookups!AG38)/Lookups!AA38))),1)</f>
        <v>1.2001800273743051</v>
      </c>
      <c r="L38" s="32">
        <f t="shared" si="2"/>
        <v>-3.2371345098344997</v>
      </c>
      <c r="M38" s="29" t="str">
        <f t="shared" si="3"/>
        <v>Non-Manipulator</v>
      </c>
      <c r="N38" s="33">
        <f>IFERROR(Lookups!O38/Lookups!L38,"")</f>
        <v>4.9175784831762643E-3</v>
      </c>
      <c r="O38" s="34">
        <f>IFERROR(Lookups!I38/Lookups!Q38,"")</f>
        <v>0.77225796225342569</v>
      </c>
      <c r="P38" s="34">
        <f>IFERROR(Lookups!S38/Lookups!T38,"")</f>
        <v>2.0613914716985429</v>
      </c>
      <c r="Q38" s="33">
        <f>IFERROR((Lookups!L38-Lookups!AA38)/Lookups!AA38,"")</f>
        <v>0.21696213848791612</v>
      </c>
    </row>
    <row r="39" spans="1:17" ht="15" customHeight="1" thickBot="1" x14ac:dyDescent="0.35">
      <c r="A39" s="70" t="s">
        <v>30</v>
      </c>
      <c r="B39" s="70" t="s">
        <v>31</v>
      </c>
      <c r="C39" s="71">
        <v>2023</v>
      </c>
      <c r="D39" s="93">
        <f>IFERROR(IF(Lookups!U39=0,1,IF(Lookups!W39=0,1,(Lookups!H39/Lookups!F39)/(Lookups!W39/Lookups!U39))),1)</f>
        <v>1.0268785589430365</v>
      </c>
      <c r="E39" s="93">
        <f>IFERROR(IF(Lookups!U39=0,1,IF(Lookups!F39=0,1,((Lookups!U39-Lookups!V39)/Lookups!U39)/((Lookups!F39-Lookups!G39)/Lookups!F39))),1)</f>
        <v>0.99920791621316807</v>
      </c>
      <c r="F39" s="93">
        <f>IFERROR(IF(Lookups!AA39=0,1,IF((1-(Lookups!X39+Lookups!Y39+Lookups!Z39)/Lookups!AA39)=0,1,(1-(Lookups!I39+Lookups!J39+Lookups!K39)/Lookups!L39)/(1-(Lookups!X39+Lookups!Y39+Lookups!Z39)/Lookups!AA39))),1)</f>
        <v>0.37810171933602305</v>
      </c>
      <c r="G39" s="93">
        <f>IFERROR(IF(Lookups!U39=0,1,Lookups!F39/Lookups!U39),1)</f>
        <v>1.3597520321385073</v>
      </c>
      <c r="H39" s="93">
        <f>IFERROR(IF((Lookups!Y39+Lookups!AC39)=0,1,IF((Lookups!J39+Lookups!N39)=0,1,(Lookups!AC39/(Lookups!Y39+Lookups!AC39))/(Lookups!N39/(Lookups!J39+Lookups!N39)))),1)</f>
        <v>0.93133720808798803</v>
      </c>
      <c r="I39" s="93">
        <f>IFERROR(IF(Lookups!U39=0,1,IF(Lookups!AB39=0,1,(Lookups!M39/Lookups!F39)/(Lookups!AB39/Lookups!U39))),1)</f>
        <v>0.75010474369357061</v>
      </c>
      <c r="J39" s="93">
        <f>IFERROR(IF(Lookups!L39=0,1,(Lookups!O39-Lookups!P39)/Lookups!L39),1)</f>
        <v>-0.2903366551261119</v>
      </c>
      <c r="K39" s="93">
        <f>IFERROR(IF(Lookups!AA39=0,1,IF((Lookups!AF39+Lookups!AG39)=0,1,((Lookups!Q39+Lookups!R39)/Lookups!L39)/((Lookups!AF39+Lookups!AG39)/Lookups!AA39))),1)</f>
        <v>1.1328768649048881</v>
      </c>
      <c r="L39" s="94">
        <f t="shared" si="2"/>
        <v>-3.752888219876704</v>
      </c>
      <c r="M39" s="72" t="str">
        <f t="shared" si="3"/>
        <v>Non-Manipulator</v>
      </c>
      <c r="N39" s="95">
        <f>IFERROR(Lookups!O39/Lookups!L39,"")</f>
        <v>2.7286565896797756E-2</v>
      </c>
      <c r="O39" s="96">
        <f>IFERROR(Lookups!I39/Lookups!Q39,"")</f>
        <v>0.73041395711291446</v>
      </c>
      <c r="P39" s="96">
        <f>IFERROR(Lookups!S39/Lookups!T39,"")</f>
        <v>2.6970492824199916</v>
      </c>
      <c r="Q39" s="95">
        <f>IFERROR((Lookups!L39-Lookups!AA39)/Lookups!AA39,"")</f>
        <v>0.3470473140238402</v>
      </c>
    </row>
    <row r="40" spans="1:17" ht="15" customHeight="1" x14ac:dyDescent="0.3">
      <c r="A40" s="77" t="s">
        <v>32</v>
      </c>
      <c r="B40" s="77" t="s">
        <v>33</v>
      </c>
      <c r="C40" s="78">
        <v>2019</v>
      </c>
      <c r="D40" s="97">
        <f>IFERROR(IF(Lookups!U40=0,1,IF(Lookups!W40=0,1,(Lookups!H40/Lookups!F40)/(Lookups!W40/Lookups!U40))),1)</f>
        <v>1.0052940650326039</v>
      </c>
      <c r="E40" s="97">
        <f>IFERROR(IF(Lookups!U40=0,1,IF(Lookups!F40=0,1,((Lookups!U40-Lookups!V40)/Lookups!U40)/((Lookups!F40-Lookups!G40)/Lookups!F40))),1)</f>
        <v>1.0013872649026481</v>
      </c>
      <c r="F40" s="97">
        <f>IFERROR(IF(Lookups!AA40=0,1,IF((1-(Lookups!X40+Lookups!Y40+Lookups!Z40)/Lookups!AA40)=0,1,(1-(Lookups!I40+Lookups!J40+Lookups!K40)/Lookups!L40)/(1-(Lookups!X40+Lookups!Y40+Lookups!Z40)/Lookups!AA40))),1)</f>
        <v>0.67772272982019177</v>
      </c>
      <c r="G40" s="97">
        <f>IFERROR(IF(Lookups!U40=0,1,Lookups!F40/Lookups!U40),1)</f>
        <v>1.2303864150220047</v>
      </c>
      <c r="H40" s="97">
        <f>IFERROR(IF((Lookups!Y40+Lookups!AC40)=0,1,IF((Lookups!J40+Lookups!N40)=0,1,(Lookups!AC40/(Lookups!Y40+Lookups!AC40))/(Lookups!N40/(Lookups!J40+Lookups!N40)))),1)</f>
        <v>0.86871544470841833</v>
      </c>
      <c r="I40" s="97">
        <f>IFERROR(IF(Lookups!U40=0,1,IF(Lookups!AB40=0,1,(Lookups!M40/Lookups!F40)/(Lookups!AB40/Lookups!U40))),1)</f>
        <v>1.0194990267420194</v>
      </c>
      <c r="J40" s="97">
        <f>IFERROR(IF(Lookups!L40=0,1,(Lookups!O40-Lookups!P40)/Lookups!L40),1)</f>
        <v>-1.8323169008627294E-2</v>
      </c>
      <c r="K40" s="97">
        <f>IFERROR(IF(Lookups!AA40=0,1,IF((Lookups!AF40+Lookups!AG40)=0,1,((Lookups!Q40+Lookups!R40)/Lookups!L40)/((Lookups!AF40+Lookups!AG40)/Lookups!AA40))),1)</f>
        <v>1.0297575669933297</v>
      </c>
      <c r="L40" s="98">
        <f t="shared" si="2"/>
        <v>-2.5130087079107652</v>
      </c>
      <c r="M40" s="79" t="str">
        <f t="shared" si="3"/>
        <v>Non-Manipulator</v>
      </c>
      <c r="N40" s="99">
        <f>IFERROR(Lookups!O40/Lookups!L40,"")</f>
        <v>6.1476539316913097E-2</v>
      </c>
      <c r="O40" s="100">
        <f>IFERROR(Lookups!I40/Lookups!Q40,"")</f>
        <v>0.93670945108661519</v>
      </c>
      <c r="P40" s="100">
        <f>IFERROR(Lookups!S40/Lookups!T40,"")</f>
        <v>2.2496270013178026</v>
      </c>
      <c r="Q40" s="99">
        <f>IFERROR((Lookups!L40-Lookups!AA40)/Lookups!AA40,"")</f>
        <v>0.27557073027165102</v>
      </c>
    </row>
    <row r="41" spans="1:17" ht="15" customHeight="1" x14ac:dyDescent="0.3">
      <c r="A41" s="27" t="s">
        <v>32</v>
      </c>
      <c r="B41" s="27" t="s">
        <v>33</v>
      </c>
      <c r="C41" s="28">
        <v>2020</v>
      </c>
      <c r="D41" s="31">
        <f>IFERROR(IF(Lookups!U41=0,1,IF(Lookups!W41=0,1,(Lookups!H41/Lookups!F41)/(Lookups!W41/Lookups!U41))),1)</f>
        <v>1.5933346755052176</v>
      </c>
      <c r="E41" s="31">
        <f>IFERROR(IF(Lookups!U41=0,1,IF(Lookups!F41=0,1,((Lookups!U41-Lookups!V41)/Lookups!U41)/((Lookups!F41-Lookups!G41)/Lookups!F41))),1)</f>
        <v>1.0089115304934917</v>
      </c>
      <c r="F41" s="31">
        <f>IFERROR(IF(Lookups!AA41=0,1,IF((1-(Lookups!X41+Lookups!Y41+Lookups!Z41)/Lookups!AA41)=0,1,(1-(Lookups!I41+Lookups!J41+Lookups!K41)/Lookups!L41)/(1-(Lookups!X41+Lookups!Y41+Lookups!Z41)/Lookups!AA41))),1)</f>
        <v>0.98173945531668649</v>
      </c>
      <c r="G41" s="31">
        <f>IFERROR(IF(Lookups!U41=0,1,Lookups!F41/Lookups!U41),1)</f>
        <v>0.77226954673553971</v>
      </c>
      <c r="H41" s="31">
        <f>IFERROR(IF((Lookups!Y41+Lookups!AC41)=0,1,IF((Lookups!J41+Lookups!N41)=0,1,(Lookups!AC41/(Lookups!Y41+Lookups!AC41))/(Lookups!N41/(Lookups!J41+Lookups!N41)))),1)</f>
        <v>1.4950007722899821</v>
      </c>
      <c r="I41" s="31">
        <f>IFERROR(IF(Lookups!U41=0,1,IF(Lookups!AB41=0,1,(Lookups!M41/Lookups!F41)/(Lookups!AB41/Lookups!U41))),1)</f>
        <v>1.4852718149677449</v>
      </c>
      <c r="J41" s="31">
        <f>IFERROR(IF(Lookups!L41=0,1,(Lookups!O41-Lookups!P41)/Lookups!L41),1)</f>
        <v>-4.4112222835116732E-2</v>
      </c>
      <c r="K41" s="31">
        <f>IFERROR(IF(Lookups!AA41=0,1,IF((Lookups!AF41+Lookups!AG41)=0,1,((Lookups!Q41+Lookups!R41)/Lookups!L41)/((Lookups!AF41+Lookups!AG41)/Lookups!AA41))),1)</f>
        <v>1.0361768280467514</v>
      </c>
      <c r="L41" s="32">
        <f t="shared" si="2"/>
        <v>-2.3847122115764963</v>
      </c>
      <c r="M41" s="29" t="str">
        <f t="shared" si="3"/>
        <v>Non-Manipulator</v>
      </c>
      <c r="N41" s="33">
        <f>IFERROR(Lookups!O41/Lookups!L41,"")</f>
        <v>4.2932387688403587E-2</v>
      </c>
      <c r="O41" s="34">
        <f>IFERROR(Lookups!I41/Lookups!Q41,"")</f>
        <v>0.82598726232075881</v>
      </c>
      <c r="P41" s="34">
        <f>IFERROR(Lookups!S41/Lookups!T41,"")</f>
        <v>2.4959352704717284</v>
      </c>
      <c r="Q41" s="33">
        <f>IFERROR((Lookups!L41-Lookups!AA41)/Lookups!AA41,"")</f>
        <v>0.22422925635831095</v>
      </c>
    </row>
    <row r="42" spans="1:17" ht="15" customHeight="1" x14ac:dyDescent="0.3">
      <c r="A42" s="27" t="s">
        <v>32</v>
      </c>
      <c r="B42" s="27" t="s">
        <v>33</v>
      </c>
      <c r="C42" s="28">
        <v>2021</v>
      </c>
      <c r="D42" s="31">
        <f>IFERROR(IF(Lookups!U42=0,1,IF(Lookups!W42=0,1,(Lookups!H42/Lookups!F42)/(Lookups!W42/Lookups!U42))),1)</f>
        <v>0.69425335115780773</v>
      </c>
      <c r="E42" s="31">
        <f>IFERROR(IF(Lookups!U42=0,1,IF(Lookups!F42=0,1,((Lookups!U42-Lookups!V42)/Lookups!U42)/((Lookups!F42-Lookups!G42)/Lookups!F42))),1)</f>
        <v>0.99183110214613857</v>
      </c>
      <c r="F42" s="31">
        <f>IFERROR(IF(Lookups!AA42=0,1,IF((1-(Lookups!X42+Lookups!Y42+Lookups!Z42)/Lookups!AA42)=0,1,(1-(Lookups!I42+Lookups!J42+Lookups!K42)/Lookups!L42)/(1-(Lookups!X42+Lookups!Y42+Lookups!Z42)/Lookups!AA42))),1)</f>
        <v>1.1646190044440652</v>
      </c>
      <c r="G42" s="31">
        <f>IFERROR(IF(Lookups!U42=0,1,Lookups!F42/Lookups!U42),1)</f>
        <v>1.5578355563547823</v>
      </c>
      <c r="H42" s="31">
        <f>IFERROR(IF((Lookups!Y42+Lookups!AC42)=0,1,IF((Lookups!J42+Lookups!N42)=0,1,(Lookups!AC42/(Lookups!Y42+Lookups!AC42))/(Lookups!N42/(Lookups!J42+Lookups!N42)))),1)</f>
        <v>1.0489611851205061</v>
      </c>
      <c r="I42" s="31">
        <f>IFERROR(IF(Lookups!U42=0,1,IF(Lookups!AB42=0,1,(Lookups!M42/Lookups!F42)/(Lookups!AB42/Lookups!U42))),1)</f>
        <v>0.85309535989889107</v>
      </c>
      <c r="J42" s="31">
        <f>IFERROR(IF(Lookups!L42=0,1,(Lookups!O42-Lookups!P42)/Lookups!L42),1)</f>
        <v>-0.12850333590018048</v>
      </c>
      <c r="K42" s="31">
        <f>IFERROR(IF(Lookups!AA42=0,1,IF((Lookups!AF42+Lookups!AG42)=0,1,((Lookups!Q42+Lookups!R42)/Lookups!L42)/((Lookups!AF42+Lookups!AG42)/Lookups!AA42))),1)</f>
        <v>1.0172410235770672</v>
      </c>
      <c r="L42" s="32">
        <f t="shared" si="2"/>
        <v>-2.7775114899381839</v>
      </c>
      <c r="M42" s="29" t="str">
        <f t="shared" si="3"/>
        <v>Non-Manipulator</v>
      </c>
      <c r="N42" s="33">
        <f>IFERROR(Lookups!O42/Lookups!L42,"")</f>
        <v>3.9539857610061083E-2</v>
      </c>
      <c r="O42" s="34">
        <f>IFERROR(Lookups!I42/Lookups!Q42,"")</f>
        <v>0.76146428092427954</v>
      </c>
      <c r="P42" s="34">
        <f>IFERROR(Lookups!S42/Lookups!T42,"")</f>
        <v>2.6487348939011612</v>
      </c>
      <c r="Q42" s="33">
        <f>IFERROR((Lookups!L42-Lookups!AA42)/Lookups!AA42,"")</f>
        <v>0.18850995720896407</v>
      </c>
    </row>
    <row r="43" spans="1:17" ht="15" customHeight="1" x14ac:dyDescent="0.3">
      <c r="A43" s="27" t="s">
        <v>32</v>
      </c>
      <c r="B43" s="27" t="s">
        <v>33</v>
      </c>
      <c r="C43" s="28">
        <v>2022</v>
      </c>
      <c r="D43" s="31">
        <f>IFERROR(IF(Lookups!U43=0,1,IF(Lookups!W43=0,1,(Lookups!H43/Lookups!F43)/(Lookups!W43/Lookups!U43))),1)</f>
        <v>0.79397009778886629</v>
      </c>
      <c r="E43" s="31">
        <f>IFERROR(IF(Lookups!U43=0,1,IF(Lookups!F43=0,1,((Lookups!U43-Lookups!V43)/Lookups!U43)/((Lookups!F43-Lookups!G43)/Lookups!F43))),1)</f>
        <v>0.98498240963703954</v>
      </c>
      <c r="F43" s="31">
        <f>IFERROR(IF(Lookups!AA43=0,1,IF((1-(Lookups!X43+Lookups!Y43+Lookups!Z43)/Lookups!AA43)=0,1,(1-(Lookups!I43+Lookups!J43+Lookups!K43)/Lookups!L43)/(1-(Lookups!X43+Lookups!Y43+Lookups!Z43)/Lookups!AA43))),1)</f>
        <v>0.71874592697570017</v>
      </c>
      <c r="G43" s="31">
        <f>IFERROR(IF(Lookups!U43=0,1,Lookups!F43/Lookups!U43),1)</f>
        <v>2.7523590838793637</v>
      </c>
      <c r="H43" s="31">
        <f>IFERROR(IF((Lookups!Y43+Lookups!AC43)=0,1,IF((Lookups!J43+Lookups!N43)=0,1,(Lookups!AC43/(Lookups!Y43+Lookups!AC43))/(Lookups!N43/(Lookups!J43+Lookups!N43)))),1)</f>
        <v>0.94625513339279499</v>
      </c>
      <c r="I43" s="31">
        <f>IFERROR(IF(Lookups!U43=0,1,IF(Lookups!AB43=0,1,(Lookups!M43/Lookups!F43)/(Lookups!AB43/Lookups!U43))),1)</f>
        <v>0.55679168218058872</v>
      </c>
      <c r="J43" s="31">
        <f>IFERROR(IF(Lookups!L43=0,1,(Lookups!O43-Lookups!P43)/Lookups!L43),1)</f>
        <v>-0.11471980742563689</v>
      </c>
      <c r="K43" s="31">
        <f>IFERROR(IF(Lookups!AA43=0,1,IF((Lookups!AF43+Lookups!AG43)=0,1,((Lookups!Q43+Lookups!R43)/Lookups!L43)/((Lookups!AF43+Lookups!AG43)/Lookups!AA43))),1)</f>
        <v>1.1477964117823565</v>
      </c>
      <c r="L43" s="32">
        <f t="shared" si="2"/>
        <v>-1.743051375019586</v>
      </c>
      <c r="M43" s="29" t="str">
        <f t="shared" si="3"/>
        <v>Likely Manipulator</v>
      </c>
      <c r="N43" s="33">
        <f>IFERROR(Lookups!O43/Lookups!L43,"")</f>
        <v>2.6877712849687516E-2</v>
      </c>
      <c r="O43" s="34">
        <f>IFERROR(Lookups!I43/Lookups!Q43,"")</f>
        <v>0.85438588312270314</v>
      </c>
      <c r="P43" s="34">
        <f>IFERROR(Lookups!S43/Lookups!T43,"")</f>
        <v>4.8435645974260417</v>
      </c>
      <c r="Q43" s="33">
        <f>IFERROR((Lookups!L43-Lookups!AA43)/Lookups!AA43,"")</f>
        <v>0.84586503349515285</v>
      </c>
    </row>
    <row r="44" spans="1:17" ht="15" customHeight="1" thickBot="1" x14ac:dyDescent="0.35">
      <c r="A44" s="81" t="s">
        <v>32</v>
      </c>
      <c r="B44" s="81" t="s">
        <v>33</v>
      </c>
      <c r="C44" s="82">
        <v>2023</v>
      </c>
      <c r="D44" s="101">
        <f>IFERROR(IF(Lookups!U44=0,1,IF(Lookups!W44=0,1,(Lookups!H44/Lookups!F44)/(Lookups!W44/Lookups!U44))),1)</f>
        <v>0.76031452559713952</v>
      </c>
      <c r="E44" s="101">
        <f>IFERROR(IF(Lookups!U44=0,1,IF(Lookups!F44=0,1,((Lookups!U44-Lookups!V44)/Lookups!U44)/((Lookups!F44-Lookups!G44)/Lookups!F44))),1)</f>
        <v>1.0018221949770676</v>
      </c>
      <c r="F44" s="101">
        <f>IFERROR(IF(Lookups!AA44=0,1,IF((1-(Lookups!X44+Lookups!Y44+Lookups!Z44)/Lookups!AA44)=0,1,(1-(Lookups!I44+Lookups!J44+Lookups!K44)/Lookups!L44)/(1-(Lookups!X44+Lookups!Y44+Lookups!Z44)/Lookups!AA44))),1)</f>
        <v>1.6469764621251903</v>
      </c>
      <c r="G44" s="101">
        <f>IFERROR(IF(Lookups!U44=0,1,Lookups!F44/Lookups!U44),1)</f>
        <v>0.99338277595412194</v>
      </c>
      <c r="H44" s="101">
        <f>IFERROR(IF((Lookups!Y44+Lookups!AC44)=0,1,IF((Lookups!J44+Lookups!N44)=0,1,(Lookups!AC44/(Lookups!Y44+Lookups!AC44))/(Lookups!N44/(Lookups!J44+Lookups!N44)))),1)</f>
        <v>1.0535399850527891</v>
      </c>
      <c r="I44" s="101">
        <f>IFERROR(IF(Lookups!U44=0,1,IF(Lookups!AB44=0,1,(Lookups!M44/Lookups!F44)/(Lookups!AB44/Lookups!U44))),1)</f>
        <v>1.2441896989131276</v>
      </c>
      <c r="J44" s="101">
        <f>IFERROR(IF(Lookups!L44=0,1,(Lookups!O44-Lookups!P44)/Lookups!L44),1)</f>
        <v>9.448995163573549E-4</v>
      </c>
      <c r="K44" s="101">
        <f>IFERROR(IF(Lookups!AA44=0,1,IF((Lookups!AF44+Lookups!AG44)=0,1,((Lookups!Q44+Lookups!R44)/Lookups!L44)/((Lookups!AF44+Lookups!AG44)/Lookups!AA44))),1)</f>
        <v>0.95556926365922579</v>
      </c>
      <c r="L44" s="102">
        <f t="shared" si="2"/>
        <v>-2.4609660849646042</v>
      </c>
      <c r="M44" s="83" t="str">
        <f t="shared" si="3"/>
        <v>Non-Manipulator</v>
      </c>
      <c r="N44" s="103">
        <f>IFERROR(Lookups!O44/Lookups!L44,"")</f>
        <v>1.3667814104136821E-2</v>
      </c>
      <c r="O44" s="104">
        <f>IFERROR(Lookups!I44/Lookups!Q44,"")</f>
        <v>0.76057164837997127</v>
      </c>
      <c r="P44" s="104">
        <f>IFERROR(Lookups!S44/Lookups!T44,"")</f>
        <v>3.8410682773960465</v>
      </c>
      <c r="Q44" s="103">
        <f>IFERROR((Lookups!L44-Lookups!AA44)/Lookups!AA44,"")</f>
        <v>-0.13168374138526501</v>
      </c>
    </row>
    <row r="45" spans="1:17" ht="15" customHeight="1" x14ac:dyDescent="0.3">
      <c r="A45" s="85" t="s">
        <v>35</v>
      </c>
      <c r="B45" s="85" t="s">
        <v>36</v>
      </c>
      <c r="C45" s="86">
        <v>2019</v>
      </c>
      <c r="D45" s="105">
        <f>IFERROR(IF(Lookups!U45=0,1,IF(Lookups!W45=0,1,(Lookups!H45/Lookups!F45)/(Lookups!W45/Lookups!U45))),1)</f>
        <v>0.83262700432545622</v>
      </c>
      <c r="E45" s="105">
        <f>IFERROR(IF(Lookups!U45=0,1,IF(Lookups!F45=0,1,((Lookups!U45-Lookups!V45)/Lookups!U45)/((Lookups!F45-Lookups!G45)/Lookups!F45))),1)</f>
        <v>1.1070749103821951</v>
      </c>
      <c r="F45" s="105">
        <f>IFERROR(IF(Lookups!AA45=0,1,IF((1-(Lookups!X45+Lookups!Y45+Lookups!Z45)/Lookups!AA45)=0,1,(1-(Lookups!I45+Lookups!J45+Lookups!K45)/Lookups!L45)/(1-(Lookups!X45+Lookups!Y45+Lookups!Z45)/Lookups!AA45))),1)</f>
        <v>1</v>
      </c>
      <c r="G45" s="105">
        <f>IFERROR(IF(Lookups!U45=0,1,Lookups!F45/Lookups!U45),1)</f>
        <v>1.2282588109974124</v>
      </c>
      <c r="H45" s="105">
        <f>IFERROR(IF((Lookups!Y45+Lookups!AC45)=0,1,IF((Lookups!J45+Lookups!N45)=0,1,(Lookups!AC45/(Lookups!Y45+Lookups!AC45))/(Lookups!N45/(Lookups!J45+Lookups!N45)))),1)</f>
        <v>0.9710706019794707</v>
      </c>
      <c r="I45" s="105">
        <f>IFERROR(IF(Lookups!U45=0,1,IF(Lookups!AB45=0,1,(Lookups!M45/Lookups!F45)/(Lookups!AB45/Lookups!U45))),1)</f>
        <v>0.9885568708324991</v>
      </c>
      <c r="J45" s="105">
        <f>IFERROR(IF(Lookups!L45=0,1,(Lookups!O45-Lookups!P45)/Lookups!L45),1)</f>
        <v>6.7955998051944791E-3</v>
      </c>
      <c r="K45" s="105">
        <f>IFERROR(IF(Lookups!AA45=0,1,IF((Lookups!AF45+Lookups!AG45)=0,1,((Lookups!Q45+Lookups!R45)/Lookups!L45)/((Lookups!AF45+Lookups!AG45)/Lookups!AA45))),1)</f>
        <v>1.4886089137255483</v>
      </c>
      <c r="L45" s="106">
        <f t="shared" si="2"/>
        <v>-2.5031779097843887</v>
      </c>
      <c r="M45" s="87" t="str">
        <f t="shared" si="3"/>
        <v>Non-Manipulator</v>
      </c>
      <c r="N45" s="107">
        <f>IFERROR(Lookups!O45/Lookups!L45,"")</f>
        <v>0.10121432121823741</v>
      </c>
      <c r="O45" s="108">
        <f>IFERROR(Lookups!I45/Lookups!Q45,"")</f>
        <v>0.95538482865874841</v>
      </c>
      <c r="P45" s="108">
        <f>IFERROR(Lookups!S45/Lookups!T45,"")</f>
        <v>2.5518074231425203</v>
      </c>
      <c r="Q45" s="107">
        <f>IFERROR((Lookups!L45-Lookups!AA45)/Lookups!AA45,"")</f>
        <v>1.3616156969133577</v>
      </c>
    </row>
    <row r="46" spans="1:17" ht="15" customHeight="1" x14ac:dyDescent="0.3">
      <c r="A46" s="27" t="s">
        <v>35</v>
      </c>
      <c r="B46" s="27" t="s">
        <v>36</v>
      </c>
      <c r="C46" s="28">
        <v>2020</v>
      </c>
      <c r="D46" s="31">
        <f>IFERROR(IF(Lookups!U46=0,1,IF(Lookups!W46=0,1,(Lookups!H46/Lookups!F46)/(Lookups!W46/Lookups!U46))),1)</f>
        <v>1.0781960676723541</v>
      </c>
      <c r="E46" s="31">
        <f>IFERROR(IF(Lookups!U46=0,1,IF(Lookups!F46=0,1,((Lookups!U46-Lookups!V46)/Lookups!U46)/((Lookups!F46-Lookups!G46)/Lookups!F46))),1)</f>
        <v>1.008452746071741</v>
      </c>
      <c r="F46" s="31">
        <f>IFERROR(IF(Lookups!AA46=0,1,IF((1-(Lookups!X46+Lookups!Y46+Lookups!Z46)/Lookups!AA46)=0,1,(1-(Lookups!I46+Lookups!J46+Lookups!K46)/Lookups!L46)/(1-(Lookups!X46+Lookups!Y46+Lookups!Z46)/Lookups!AA46))),1)</f>
        <v>1</v>
      </c>
      <c r="G46" s="31">
        <f>IFERROR(IF(Lookups!U46=0,1,Lookups!F46/Lookups!U46),1)</f>
        <v>1.1643417506845064</v>
      </c>
      <c r="H46" s="31">
        <f>IFERROR(IF((Lookups!Y46+Lookups!AC46)=0,1,IF((Lookups!J46+Lookups!N46)=0,1,(Lookups!AC46/(Lookups!Y46+Lookups!AC46))/(Lookups!N46/(Lookups!J46+Lookups!N46)))),1)</f>
        <v>1.0262039208370788</v>
      </c>
      <c r="I46" s="31">
        <f>IFERROR(IF(Lookups!U46=0,1,IF(Lookups!AB46=0,1,(Lookups!M46/Lookups!F46)/(Lookups!AB46/Lookups!U46))),1)</f>
        <v>0.9764837253570765</v>
      </c>
      <c r="J46" s="31">
        <f>IFERROR(IF(Lookups!L46=0,1,(Lookups!O46-Lookups!P46)/Lookups!L46),1)</f>
        <v>3.0620804867582695E-2</v>
      </c>
      <c r="K46" s="31">
        <f>IFERROR(IF(Lookups!AA46=0,1,IF((Lookups!AF46+Lookups!AG46)=0,1,((Lookups!Q46+Lookups!R46)/Lookups!L46)/((Lookups!AF46+Lookups!AG46)/Lookups!AA46))),1)</f>
        <v>1.2445091446088448</v>
      </c>
      <c r="L46" s="32">
        <f t="shared" si="2"/>
        <v>-2.1866252203818011</v>
      </c>
      <c r="M46" s="29" t="str">
        <f t="shared" si="3"/>
        <v>Likely Manipulator</v>
      </c>
      <c r="N46" s="33">
        <f>IFERROR(Lookups!O46/Lookups!L46,"")</f>
        <v>9.8108943166169596E-2</v>
      </c>
      <c r="O46" s="34">
        <f>IFERROR(Lookups!I46/Lookups!Q46,"")</f>
        <v>0.96325189630014374</v>
      </c>
      <c r="P46" s="34">
        <f>IFERROR(Lookups!S46/Lookups!T46,"")</f>
        <v>3.2578678582541198</v>
      </c>
      <c r="Q46" s="33">
        <f>IFERROR((Lookups!L46-Lookups!AA46)/Lookups!AA46,"")</f>
        <v>0.42768517821190621</v>
      </c>
    </row>
    <row r="47" spans="1:17" ht="15" customHeight="1" x14ac:dyDescent="0.3">
      <c r="A47" s="27" t="s">
        <v>35</v>
      </c>
      <c r="B47" s="27" t="s">
        <v>36</v>
      </c>
      <c r="C47" s="28">
        <v>2021</v>
      </c>
      <c r="D47" s="31">
        <f>IFERROR(IF(Lookups!U47=0,1,IF(Lookups!W47=0,1,(Lookups!H47/Lookups!F47)/(Lookups!W47/Lookups!U47))),1)</f>
        <v>0.93475821478007781</v>
      </c>
      <c r="E47" s="31">
        <f>IFERROR(IF(Lookups!U47=0,1,IF(Lookups!F47=0,1,((Lookups!U47-Lookups!V47)/Lookups!U47)/((Lookups!F47-Lookups!G47)/Lookups!F47))),1)</f>
        <v>1.0069737141631667</v>
      </c>
      <c r="F47" s="31">
        <f>IFERROR(IF(Lookups!AA47=0,1,IF((1-(Lookups!X47+Lookups!Y47+Lookups!Z47)/Lookups!AA47)=0,1,(1-(Lookups!I47+Lookups!J47+Lookups!K47)/Lookups!L47)/(1-(Lookups!X47+Lookups!Y47+Lookups!Z47)/Lookups!AA47))),1)</f>
        <v>1</v>
      </c>
      <c r="G47" s="31">
        <f>IFERROR(IF(Lookups!U47=0,1,Lookups!F47/Lookups!U47),1)</f>
        <v>1.2800780915923751</v>
      </c>
      <c r="H47" s="31">
        <f>IFERROR(IF((Lookups!Y47+Lookups!AC47)=0,1,IF((Lookups!J47+Lookups!N47)=0,1,(Lookups!AC47/(Lookups!Y47+Lookups!AC47))/(Lookups!N47/(Lookups!J47+Lookups!N47)))),1)</f>
        <v>0.49654305099873497</v>
      </c>
      <c r="I47" s="31">
        <f>IFERROR(IF(Lookups!U47=0,1,IF(Lookups!AB47=0,1,(Lookups!M47/Lookups!F47)/(Lookups!AB47/Lookups!U47))),1)</f>
        <v>0.94041550005664798</v>
      </c>
      <c r="J47" s="31">
        <f>IFERROR(IF(Lookups!L47=0,1,(Lookups!O47-Lookups!P47)/Lookups!L47),1)</f>
        <v>-1.6514650242970077E-2</v>
      </c>
      <c r="K47" s="31">
        <f>IFERROR(IF(Lookups!AA47=0,1,IF((Lookups!AF47+Lookups!AG47)=0,1,((Lookups!Q47+Lookups!R47)/Lookups!L47)/((Lookups!AF47+Lookups!AG47)/Lookups!AA47))),1)</f>
        <v>0.98533303262541083</v>
      </c>
      <c r="L47" s="32">
        <f t="shared" si="2"/>
        <v>-2.4066356289240329</v>
      </c>
      <c r="M47" s="29" t="str">
        <f t="shared" si="3"/>
        <v>Non-Manipulator</v>
      </c>
      <c r="N47" s="33">
        <f>IFERROR(Lookups!O47/Lookups!L47,"")</f>
        <v>0.11419893253275858</v>
      </c>
      <c r="O47" s="34">
        <f>IFERROR(Lookups!I47/Lookups!Q47,"")</f>
        <v>1.0380472395388125</v>
      </c>
      <c r="P47" s="34">
        <f>IFERROR(Lookups!S47/Lookups!T47,"")</f>
        <v>3.0165510125597654</v>
      </c>
      <c r="Q47" s="33">
        <f>IFERROR((Lookups!L47-Lookups!AA47)/Lookups!AA47,"")</f>
        <v>0.23263712003045192</v>
      </c>
    </row>
    <row r="48" spans="1:17" ht="15" customHeight="1" x14ac:dyDescent="0.3">
      <c r="A48" s="27" t="s">
        <v>35</v>
      </c>
      <c r="B48" s="27" t="s">
        <v>36</v>
      </c>
      <c r="C48" s="28">
        <v>2022</v>
      </c>
      <c r="D48" s="31">
        <f>IFERROR(IF(Lookups!U48=0,1,IF(Lookups!W48=0,1,(Lookups!H48/Lookups!F48)/(Lookups!W48/Lookups!U48))),1)</f>
        <v>1.0596138796614416</v>
      </c>
      <c r="E48" s="31">
        <f>IFERROR(IF(Lookups!U48=0,1,IF(Lookups!F48=0,1,((Lookups!U48-Lookups!V48)/Lookups!U48)/((Lookups!F48-Lookups!G48)/Lookups!F48))),1)</f>
        <v>1.0169262265408412</v>
      </c>
      <c r="F48" s="31">
        <f>IFERROR(IF(Lookups!AA48=0,1,IF((1-(Lookups!X48+Lookups!Y48+Lookups!Z48)/Lookups!AA48)=0,1,(1-(Lookups!I48+Lookups!J48+Lookups!K48)/Lookups!L48)/(1-(Lookups!X48+Lookups!Y48+Lookups!Z48)/Lookups!AA48))),1)</f>
        <v>0.75523019298298133</v>
      </c>
      <c r="G48" s="31">
        <f>IFERROR(IF(Lookups!U48=0,1,Lookups!F48/Lookups!U48),1)</f>
        <v>1.2839280671540343</v>
      </c>
      <c r="H48" s="31">
        <f>IFERROR(IF((Lookups!Y48+Lookups!AC48)=0,1,IF((Lookups!J48+Lookups!N48)=0,1,(Lookups!AC48/(Lookups!Y48+Lookups!AC48))/(Lookups!N48/(Lookups!J48+Lookups!N48)))),1)</f>
        <v>1.1383152133646524</v>
      </c>
      <c r="I48" s="31">
        <f>IFERROR(IF(Lookups!U48=0,1,IF(Lookups!AB48=0,1,(Lookups!M48/Lookups!F48)/(Lookups!AB48/Lookups!U48))),1)</f>
        <v>1.0320633197633586</v>
      </c>
      <c r="J48" s="31">
        <f>IFERROR(IF(Lookups!L48=0,1,(Lookups!O48-Lookups!P48)/Lookups!L48),1)</f>
        <v>-2.7905977531145369E-2</v>
      </c>
      <c r="K48" s="31">
        <f>IFERROR(IF(Lookups!AA48=0,1,IF((Lookups!AF48+Lookups!AG48)=0,1,((Lookups!Q48+Lookups!R48)/Lookups!L48)/((Lookups!AF48+Lookups!AG48)/Lookups!AA48))),1)</f>
        <v>1.0123770227585831</v>
      </c>
      <c r="L48" s="32">
        <f t="shared" si="2"/>
        <v>-2.3860693460040343</v>
      </c>
      <c r="M48" s="29" t="str">
        <f t="shared" si="3"/>
        <v>Non-Manipulator</v>
      </c>
      <c r="N48" s="33">
        <f>IFERROR(Lookups!O48/Lookups!L48,"")</f>
        <v>0.1294333384321657</v>
      </c>
      <c r="O48" s="34">
        <f>IFERROR(Lookups!I48/Lookups!Q48,"")</f>
        <v>1.0503575109179126</v>
      </c>
      <c r="P48" s="34">
        <f>IFERROR(Lookups!S48/Lookups!T48,"")</f>
        <v>2.8642792090652747</v>
      </c>
      <c r="Q48" s="33">
        <f>IFERROR((Lookups!L48-Lookups!AA48)/Lookups!AA48,"")</f>
        <v>0.25896491203143962</v>
      </c>
    </row>
    <row r="49" spans="1:17" ht="15" customHeight="1" thickBot="1" x14ac:dyDescent="0.35">
      <c r="A49" s="70" t="s">
        <v>35</v>
      </c>
      <c r="B49" s="70" t="s">
        <v>36</v>
      </c>
      <c r="C49" s="71">
        <v>2023</v>
      </c>
      <c r="D49" s="93">
        <f>IFERROR(IF(Lookups!U49=0,1,IF(Lookups!W49=0,1,(Lookups!H49/Lookups!F49)/(Lookups!W49/Lookups!U49))),1)</f>
        <v>0.98057014299865353</v>
      </c>
      <c r="E49" s="93">
        <f>IFERROR(IF(Lookups!U49=0,1,IF(Lookups!F49=0,1,((Lookups!U49-Lookups!V49)/Lookups!U49)/((Lookups!F49-Lookups!G49)/Lookups!F49))),1)</f>
        <v>0.98758164080511357</v>
      </c>
      <c r="F49" s="93">
        <f>IFERROR(IF(Lookups!AA49=0,1,IF((1-(Lookups!X49+Lookups!Y49+Lookups!Z49)/Lookups!AA49)=0,1,(1-(Lookups!I49+Lookups!J49+Lookups!K49)/Lookups!L49)/(1-(Lookups!X49+Lookups!Y49+Lookups!Z49)/Lookups!AA49))),1)</f>
        <v>1.0306861188448071</v>
      </c>
      <c r="G49" s="93">
        <f>IFERROR(IF(Lookups!U49=0,1,Lookups!F49/Lookups!U49),1)</f>
        <v>1.3462408491072455</v>
      </c>
      <c r="H49" s="93">
        <f>IFERROR(IF((Lookups!Y49+Lookups!AC49)=0,1,IF((Lookups!J49+Lookups!N49)=0,1,(Lookups!AC49/(Lookups!Y49+Lookups!AC49))/(Lookups!N49/(Lookups!J49+Lookups!N49)))),1)</f>
        <v>0.86513656297475805</v>
      </c>
      <c r="I49" s="93">
        <f>IFERROR(IF(Lookups!U49=0,1,IF(Lookups!AB49=0,1,(Lookups!M49/Lookups!F49)/(Lookups!AB49/Lookups!U49))),1)</f>
        <v>0.86642770341416975</v>
      </c>
      <c r="J49" s="93">
        <f>IFERROR(IF(Lookups!L49=0,1,(Lookups!O49-Lookups!P49)/Lookups!L49),1)</f>
        <v>-0.12548448418316671</v>
      </c>
      <c r="K49" s="93">
        <f>IFERROR(IF(Lookups!AA49=0,1,IF((Lookups!AF49+Lookups!AG49)=0,1,((Lookups!Q49+Lookups!R49)/Lookups!L49)/((Lookups!AF49+Lookups!AG49)/Lookups!AA49))),1)</f>
        <v>0.97350225671525459</v>
      </c>
      <c r="L49" s="94">
        <f t="shared" si="2"/>
        <v>-2.7542003323632391</v>
      </c>
      <c r="M49" s="72" t="str">
        <f t="shared" si="3"/>
        <v>Non-Manipulator</v>
      </c>
      <c r="N49" s="95">
        <f>IFERROR(Lookups!O49/Lookups!L49,"")</f>
        <v>0.128632123303625</v>
      </c>
      <c r="O49" s="96">
        <f>IFERROR(Lookups!I49/Lookups!Q49,"")</f>
        <v>1.0903517944634893</v>
      </c>
      <c r="P49" s="96">
        <f>IFERROR(Lookups!S49/Lookups!T49,"")</f>
        <v>2.5918523265956415</v>
      </c>
      <c r="Q49" s="95">
        <f>IFERROR((Lookups!L49-Lookups!AA49)/Lookups!AA49,"")</f>
        <v>0.40312800901926793</v>
      </c>
    </row>
    <row r="50" spans="1:17" ht="15" customHeight="1" x14ac:dyDescent="0.3">
      <c r="A50" s="77" t="s">
        <v>38</v>
      </c>
      <c r="B50" s="77" t="s">
        <v>39</v>
      </c>
      <c r="C50" s="78">
        <v>2019</v>
      </c>
      <c r="D50" s="97">
        <f>IFERROR(IF(Lookups!U50=0,1,IF(Lookups!W50=0,1,(Lookups!H50/Lookups!F50)/(Lookups!W50/Lookups!U50))),1)</f>
        <v>0.14662370635449004</v>
      </c>
      <c r="E50" s="97">
        <f>IFERROR(IF(Lookups!U50=0,1,IF(Lookups!F50=0,1,((Lookups!U50-Lookups!V50)/Lookups!U50)/((Lookups!F50-Lookups!G50)/Lookups!F50))),1)</f>
        <v>0.99806293471487928</v>
      </c>
      <c r="F50" s="97">
        <f>IFERROR(IF(Lookups!AA50=0,1,IF((1-(Lookups!X50+Lookups!Y50+Lookups!Z50)/Lookups!AA50)=0,1,(1-(Lookups!I50+Lookups!J50+Lookups!K50)/Lookups!L50)/(1-(Lookups!X50+Lookups!Y50+Lookups!Z50)/Lookups!AA50))),1)</f>
        <v>1.1634081968068384</v>
      </c>
      <c r="G50" s="97">
        <f>IFERROR(IF(Lookups!U50=0,1,Lookups!F50/Lookups!U50),1)</f>
        <v>0.63526716915040482</v>
      </c>
      <c r="H50" s="97">
        <f>IFERROR(IF((Lookups!Y50+Lookups!AC50)=0,1,IF((Lookups!J50+Lookups!N50)=0,1,(Lookups!AC50/(Lookups!Y50+Lookups!AC50))/(Lookups!N50/(Lookups!J50+Lookups!N50)))),1)</f>
        <v>1.0447569424555005</v>
      </c>
      <c r="I50" s="97">
        <f>IFERROR(IF(Lookups!U50=0,1,IF(Lookups!AB50=0,1,(Lookups!M50/Lookups!F50)/(Lookups!AB50/Lookups!U50))),1)</f>
        <v>1.0296957750298845</v>
      </c>
      <c r="J50" s="97">
        <f>IFERROR(IF(Lookups!L50=0,1,(Lookups!O50-Lookups!P50)/Lookups!L50),1)</f>
        <v>-4.3204681313629692E-3</v>
      </c>
      <c r="K50" s="97">
        <f>IFERROR(IF(Lookups!AA50=0,1,IF((Lookups!AF50+Lookups!AG50)=0,1,((Lookups!Q50+Lookups!R50)/Lookups!L50)/((Lookups!AF50+Lookups!AG50)/Lookups!AA50))),1)</f>
        <v>1.0902063852082122</v>
      </c>
      <c r="L50" s="98">
        <f t="shared" si="2"/>
        <v>-3.5751273175047791</v>
      </c>
      <c r="M50" s="79" t="str">
        <f t="shared" si="3"/>
        <v>Non-Manipulator</v>
      </c>
      <c r="N50" s="99">
        <f>IFERROR(Lookups!O50/Lookups!L50,"")</f>
        <v>0.25372553966967432</v>
      </c>
      <c r="O50" s="100">
        <f>IFERROR(Lookups!I50/Lookups!Q50,"")</f>
        <v>1.1042684053533247</v>
      </c>
      <c r="P50" s="100">
        <f>IFERROR(Lookups!S50/Lookups!T50,"")</f>
        <v>-4.4052528747807873</v>
      </c>
      <c r="Q50" s="99">
        <f>IFERROR((Lookups!L50-Lookups!AA50)/Lookups!AA50,"")</f>
        <v>-0.13961078547701677</v>
      </c>
    </row>
    <row r="51" spans="1:17" ht="15" customHeight="1" x14ac:dyDescent="0.3">
      <c r="A51" s="27" t="s">
        <v>38</v>
      </c>
      <c r="B51" s="27" t="s">
        <v>39</v>
      </c>
      <c r="C51" s="28">
        <v>2020</v>
      </c>
      <c r="D51" s="31">
        <f>IFERROR(IF(Lookups!U51=0,1,IF(Lookups!W51=0,1,(Lookups!H51/Lookups!F51)/(Lookups!W51/Lookups!U51))),1)</f>
        <v>0.39619784616983861</v>
      </c>
      <c r="E51" s="31">
        <f>IFERROR(IF(Lookups!U51=0,1,IF(Lookups!F51=0,1,((Lookups!U51-Lookups!V51)/Lookups!U51)/((Lookups!F51-Lookups!G51)/Lookups!F51))),1)</f>
        <v>1.0060133523203707</v>
      </c>
      <c r="F51" s="31">
        <f>IFERROR(IF(Lookups!AA51=0,1,IF((1-(Lookups!X51+Lookups!Y51+Lookups!Z51)/Lookups!AA51)=0,1,(1-(Lookups!I51+Lookups!J51+Lookups!K51)/Lookups!L51)/(1-(Lookups!X51+Lookups!Y51+Lookups!Z51)/Lookups!AA51))),1)</f>
        <v>0.99389583155574013</v>
      </c>
      <c r="G51" s="31">
        <f>IFERROR(IF(Lookups!U51=0,1,Lookups!F51/Lookups!U51),1)</f>
        <v>0.86086729196352785</v>
      </c>
      <c r="H51" s="31">
        <f>IFERROR(IF((Lookups!Y51+Lookups!AC51)=0,1,IF((Lookups!J51+Lookups!N51)=0,1,(Lookups!AC51/(Lookups!Y51+Lookups!AC51))/(Lookups!N51/(Lookups!J51+Lookups!N51)))),1)</f>
        <v>0.97267024501279875</v>
      </c>
      <c r="I51" s="31">
        <f>IFERROR(IF(Lookups!U51=0,1,IF(Lookups!AB51=0,1,(Lookups!M51/Lookups!F51)/(Lookups!AB51/Lookups!U51))),1)</f>
        <v>1.3813417010205626</v>
      </c>
      <c r="J51" s="31">
        <f>IFERROR(IF(Lookups!L51=0,1,(Lookups!O51-Lookups!P51)/Lookups!L51),1)</f>
        <v>-0.23068033557035739</v>
      </c>
      <c r="K51" s="31">
        <f>IFERROR(IF(Lookups!AA51=0,1,IF((Lookups!AF51+Lookups!AG51)=0,1,((Lookups!Q51+Lookups!R51)/Lookups!L51)/((Lookups!AF51+Lookups!AG51)/Lookups!AA51))),1)</f>
        <v>0.99564155349713146</v>
      </c>
      <c r="L51" s="32">
        <f t="shared" si="2"/>
        <v>-4.3055571636449361</v>
      </c>
      <c r="M51" s="29" t="str">
        <f t="shared" si="3"/>
        <v>Non-Manipulator</v>
      </c>
      <c r="N51" s="33">
        <f>IFERROR(Lookups!O51/Lookups!L51,"")</f>
        <v>-1.2457438202698833E-2</v>
      </c>
      <c r="O51" s="34">
        <f>IFERROR(Lookups!I51/Lookups!Q51,"")</f>
        <v>0.95621249839211264</v>
      </c>
      <c r="P51" s="34">
        <f>IFERROR(Lookups!S51/Lookups!T51,"")</f>
        <v>-4.3903469422520018</v>
      </c>
      <c r="Q51" s="33">
        <f>IFERROR((Lookups!L51-Lookups!AA51)/Lookups!AA51,"")</f>
        <v>3.18539474389129E-2</v>
      </c>
    </row>
    <row r="52" spans="1:17" ht="15" customHeight="1" x14ac:dyDescent="0.3">
      <c r="A52" s="27" t="s">
        <v>38</v>
      </c>
      <c r="B52" s="27" t="s">
        <v>39</v>
      </c>
      <c r="C52" s="28">
        <v>2021</v>
      </c>
      <c r="D52" s="31">
        <f>IFERROR(IF(Lookups!U52=0,1,IF(Lookups!W52=0,1,(Lookups!H52/Lookups!F52)/(Lookups!W52/Lookups!U52))),1)</f>
        <v>0.83238261281549775</v>
      </c>
      <c r="E52" s="31">
        <f>IFERROR(IF(Lookups!U52=0,1,IF(Lookups!F52=0,1,((Lookups!U52-Lookups!V52)/Lookups!U52)/((Lookups!F52-Lookups!G52)/Lookups!F52))),1)</f>
        <v>0.99333439917704847</v>
      </c>
      <c r="F52" s="31">
        <f>IFERROR(IF(Lookups!AA52=0,1,IF((1-(Lookups!X52+Lookups!Y52+Lookups!Z52)/Lookups!AA52)=0,1,(1-(Lookups!I52+Lookups!J52+Lookups!K52)/Lookups!L52)/(1-(Lookups!X52+Lookups!Y52+Lookups!Z52)/Lookups!AA52))),1)</f>
        <v>1.1392937166251893</v>
      </c>
      <c r="G52" s="31">
        <f>IFERROR(IF(Lookups!U52=0,1,Lookups!F52/Lookups!U52),1)</f>
        <v>1.2542591969184942</v>
      </c>
      <c r="H52" s="31">
        <f>IFERROR(IF((Lookups!Y52+Lookups!AC52)=0,1,IF((Lookups!J52+Lookups!N52)=0,1,(Lookups!AC52/(Lookups!Y52+Lookups!AC52))/(Lookups!N52/(Lookups!J52+Lookups!N52)))),1)</f>
        <v>1.1933420710545937</v>
      </c>
      <c r="I52" s="31">
        <f>IFERROR(IF(Lookups!U52=0,1,IF(Lookups!AB52=0,1,(Lookups!M52/Lookups!F52)/(Lookups!AB52/Lookups!U52))),1)</f>
        <v>0.73851010798526884</v>
      </c>
      <c r="J52" s="31">
        <f>IFERROR(IF(Lookups!L52=0,1,(Lookups!O52-Lookups!P52)/Lookups!L52),1)</f>
        <v>-7.8901168208903236E-2</v>
      </c>
      <c r="K52" s="31">
        <f>IFERROR(IF(Lookups!AA52=0,1,IF((Lookups!AF52+Lookups!AG52)=0,1,((Lookups!Q52+Lookups!R52)/Lookups!L52)/((Lookups!AF52+Lookups!AG52)/Lookups!AA52))),1)</f>
        <v>1.3447974085023253</v>
      </c>
      <c r="L52" s="32">
        <f t="shared" si="2"/>
        <v>-2.769370287308293</v>
      </c>
      <c r="M52" s="29" t="str">
        <f t="shared" si="3"/>
        <v>Non-Manipulator</v>
      </c>
      <c r="N52" s="33">
        <f>IFERROR(Lookups!O52/Lookups!L52,"")</f>
        <v>-1.330590882134217E-2</v>
      </c>
      <c r="O52" s="34">
        <f>IFERROR(Lookups!I52/Lookups!Q52,"")</f>
        <v>0.39964012376401309</v>
      </c>
      <c r="P52" s="34">
        <f>IFERROR(Lookups!S52/Lookups!T52,"")</f>
        <v>-2.3462640036498201</v>
      </c>
      <c r="Q52" s="33">
        <f>IFERROR((Lookups!L52-Lookups!AA52)/Lookups!AA52,"")</f>
        <v>-0.28832152852331289</v>
      </c>
    </row>
    <row r="53" spans="1:17" ht="15" customHeight="1" x14ac:dyDescent="0.3">
      <c r="A53" s="27" t="s">
        <v>38</v>
      </c>
      <c r="B53" s="27" t="s">
        <v>39</v>
      </c>
      <c r="C53" s="28">
        <v>2022</v>
      </c>
      <c r="D53" s="31">
        <f>IFERROR(IF(Lookups!U53=0,1,IF(Lookups!W53=0,1,(Lookups!H53/Lookups!F53)/(Lookups!W53/Lookups!U53))),1)</f>
        <v>3.7003300897737224</v>
      </c>
      <c r="E53" s="31">
        <f>IFERROR(IF(Lookups!U53=0,1,IF(Lookups!F53=0,1,((Lookups!U53-Lookups!V53)/Lookups!U53)/((Lookups!F53-Lookups!G53)/Lookups!F53))),1)</f>
        <v>1.0124156778880824</v>
      </c>
      <c r="F53" s="31">
        <f>IFERROR(IF(Lookups!AA53=0,1,IF((1-(Lookups!X53+Lookups!Y53+Lookups!Z53)/Lookups!AA53)=0,1,(1-(Lookups!I53+Lookups!J53+Lookups!K53)/Lookups!L53)/(1-(Lookups!X53+Lookups!Y53+Lookups!Z53)/Lookups!AA53))),1)</f>
        <v>0.8642337123417857</v>
      </c>
      <c r="G53" s="31">
        <f>IFERROR(IF(Lookups!U53=0,1,Lookups!F53/Lookups!U53),1)</f>
        <v>0.50683577572475313</v>
      </c>
      <c r="H53" s="31">
        <f>IFERROR(IF((Lookups!Y53+Lookups!AC53)=0,1,IF((Lookups!J53+Lookups!N53)=0,1,(Lookups!AC53/(Lookups!Y53+Lookups!AC53))/(Lookups!N53/(Lookups!J53+Lookups!N53)))),1)</f>
        <v>0.91529211617486272</v>
      </c>
      <c r="I53" s="31">
        <f>IFERROR(IF(Lookups!U53=0,1,IF(Lookups!AB53=0,1,(Lookups!M53/Lookups!F53)/(Lookups!AB53/Lookups!U53))),1)</f>
        <v>1.5542690291803825</v>
      </c>
      <c r="J53" s="31">
        <f>IFERROR(IF(Lookups!L53=0,1,(Lookups!O53-Lookups!P53)/Lookups!L53),1)</f>
        <v>-0.36177897721077307</v>
      </c>
      <c r="K53" s="31">
        <f>IFERROR(IF(Lookups!AA53=0,1,IF((Lookups!AF53+Lookups!AG53)=0,1,((Lookups!Q53+Lookups!R53)/Lookups!L53)/((Lookups!AF53+Lookups!AG53)/Lookups!AA53))),1)</f>
        <v>1.1158018484905019</v>
      </c>
      <c r="L53" s="32">
        <f t="shared" si="2"/>
        <v>-2.3195996262352243</v>
      </c>
      <c r="M53" s="29" t="str">
        <f t="shared" si="3"/>
        <v>Non-Manipulator</v>
      </c>
      <c r="N53" s="33">
        <f>IFERROR(Lookups!O53/Lookups!L53,"")</f>
        <v>-8.3404208919419909E-2</v>
      </c>
      <c r="O53" s="34">
        <f>IFERROR(Lookups!I53/Lookups!Q53,"")</f>
        <v>0.20332965549510132</v>
      </c>
      <c r="P53" s="34">
        <f>IFERROR(Lookups!S53/Lookups!T53,"")</f>
        <v>-2.0564665699013918</v>
      </c>
      <c r="Q53" s="33">
        <f>IFERROR((Lookups!L53-Lookups!AA53)/Lookups!AA53,"")</f>
        <v>-0.13669267916145006</v>
      </c>
    </row>
    <row r="54" spans="1:17" ht="15" customHeight="1" thickBot="1" x14ac:dyDescent="0.35">
      <c r="A54" s="81" t="s">
        <v>38</v>
      </c>
      <c r="B54" s="81" t="s">
        <v>39</v>
      </c>
      <c r="C54" s="82">
        <v>2023</v>
      </c>
      <c r="D54" s="101">
        <f>IFERROR(IF(Lookups!U54=0,1,IF(Lookups!W54=0,1,(Lookups!H54/Lookups!F54)/(Lookups!W54/Lookups!U54))),1)</f>
        <v>0</v>
      </c>
      <c r="E54" s="101">
        <f>IFERROR(IF(Lookups!U54=0,1,IF(Lookups!F54=0,1,((Lookups!U54-Lookups!V54)/Lookups!U54)/((Lookups!F54-Lookups!G54)/Lookups!F54))),1)</f>
        <v>0.9980028290830335</v>
      </c>
      <c r="F54" s="101">
        <f>IFERROR(IF(Lookups!AA54=0,1,IF((1-(Lookups!X54+Lookups!Y54+Lookups!Z54)/Lookups!AA54)=0,1,(1-(Lookups!I54+Lookups!J54+Lookups!K54)/Lookups!L54)/(1-(Lookups!X54+Lookups!Y54+Lookups!Z54)/Lookups!AA54))),1)</f>
        <v>1.0321702486568527</v>
      </c>
      <c r="G54" s="101">
        <f>IFERROR(IF(Lookups!U54=0,1,Lookups!F54/Lookups!U54),1)</f>
        <v>1.2238730450059163</v>
      </c>
      <c r="H54" s="101">
        <f>IFERROR(IF((Lookups!Y54+Lookups!AC54)=0,1,IF((Lookups!J54+Lookups!N54)=0,1,(Lookups!AC54/(Lookups!Y54+Lookups!AC54))/(Lookups!N54/(Lookups!J54+Lookups!N54)))),1)</f>
        <v>0.9931222368711371</v>
      </c>
      <c r="I54" s="101">
        <f>IFERROR(IF(Lookups!U54=0,1,IF(Lookups!AB54=0,1,(Lookups!M54/Lookups!F54)/(Lookups!AB54/Lookups!U54))),1)</f>
        <v>0.83230832455002846</v>
      </c>
      <c r="J54" s="101">
        <f>IFERROR(IF(Lookups!L54=0,1,(Lookups!O54-Lookups!P54)/Lookups!L54),1)</f>
        <v>-0.23167265937341505</v>
      </c>
      <c r="K54" s="101">
        <f>IFERROR(IF(Lookups!AA54=0,1,IF((Lookups!AF54+Lookups!AG54)=0,1,((Lookups!Q54+Lookups!R54)/Lookups!L54)/((Lookups!AF54+Lookups!AG54)/Lookups!AA54))),1)</f>
        <v>1.0412464810421138</v>
      </c>
      <c r="L54" s="102">
        <f t="shared" si="2"/>
        <v>-4.2577949167329159</v>
      </c>
      <c r="M54" s="83" t="str">
        <f t="shared" si="3"/>
        <v>Non-Manipulator</v>
      </c>
      <c r="N54" s="103">
        <f>IFERROR(Lookups!O54/Lookups!L54,"")</f>
        <v>-9.6645500936448969E-2</v>
      </c>
      <c r="O54" s="104">
        <f>IFERROR(Lookups!I54/Lookups!Q54,"")</f>
        <v>0.20631308342288809</v>
      </c>
      <c r="P54" s="104">
        <f>IFERROR(Lookups!S54/Lookups!T54,"")</f>
        <v>-1.9254995542035978</v>
      </c>
      <c r="Q54" s="103">
        <f>IFERROR((Lookups!L54-Lookups!AA54)/Lookups!AA54,"")</f>
        <v>-3.7921164540399087E-2</v>
      </c>
    </row>
    <row r="55" spans="1:17" ht="15" customHeight="1" x14ac:dyDescent="0.3">
      <c r="A55" s="85" t="s">
        <v>40</v>
      </c>
      <c r="B55" s="85" t="s">
        <v>41</v>
      </c>
      <c r="C55" s="86">
        <v>2019</v>
      </c>
      <c r="D55" s="105">
        <f>IFERROR(IF(Lookups!U55=0,1,IF(Lookups!W55=0,1,(Lookups!H55/Lookups!F55)/(Lookups!W55/Lookups!U55))),1)</f>
        <v>0.87338690574554068</v>
      </c>
      <c r="E55" s="105">
        <f>IFERROR(IF(Lookups!U55=0,1,IF(Lookups!F55=0,1,((Lookups!U55-Lookups!V55)/Lookups!U55)/((Lookups!F55-Lookups!G55)/Lookups!F55))),1)</f>
        <v>1.0069616212134738</v>
      </c>
      <c r="F55" s="105">
        <f>IFERROR(IF(Lookups!AA55=0,1,IF((1-(Lookups!X55+Lookups!Y55+Lookups!Z55)/Lookups!AA55)=0,1,(1-(Lookups!I55+Lookups!J55+Lookups!K55)/Lookups!L55)/(1-(Lookups!X55+Lookups!Y55+Lookups!Z55)/Lookups!AA55))),1)</f>
        <v>1.1841495784303104</v>
      </c>
      <c r="G55" s="105">
        <f>IFERROR(IF(Lookups!U55=0,1,Lookups!F55/Lookups!U55),1)</f>
        <v>1.1039449734703117</v>
      </c>
      <c r="H55" s="105">
        <f>IFERROR(IF((Lookups!Y55+Lookups!AC55)=0,1,IF((Lookups!J55+Lookups!N55)=0,1,(Lookups!AC55/(Lookups!Y55+Lookups!AC55))/(Lookups!N55/(Lookups!J55+Lookups!N55)))),1)</f>
        <v>0.84016467275290629</v>
      </c>
      <c r="I55" s="105">
        <f>IFERROR(IF(Lookups!U55=0,1,IF(Lookups!AB55=0,1,(Lookups!M55/Lookups!F55)/(Lookups!AB55/Lookups!U55))),1)</f>
        <v>1.0695996004591712</v>
      </c>
      <c r="J55" s="105">
        <f>IFERROR(IF(Lookups!L55=0,1,(Lookups!O55-Lookups!P55)/Lookups!L55),1)</f>
        <v>-3.4281576168080335E-2</v>
      </c>
      <c r="K55" s="105">
        <f>IFERROR(IF(Lookups!AA55=0,1,IF((Lookups!AF55+Lookups!AG55)=0,1,((Lookups!Q55+Lookups!R55)/Lookups!L55)/((Lookups!AF55+Lookups!AG55)/Lookups!AA55))),1)</f>
        <v>0.90927027345880851</v>
      </c>
      <c r="L55" s="106">
        <f t="shared" si="2"/>
        <v>-2.5867800329158963</v>
      </c>
      <c r="M55" s="87" t="str">
        <f t="shared" si="3"/>
        <v>Non-Manipulator</v>
      </c>
      <c r="N55" s="107">
        <f>IFERROR(Lookups!O55/Lookups!L55,"")</f>
        <v>7.8194507444632785E-2</v>
      </c>
      <c r="O55" s="108">
        <f>IFERROR(Lookups!I55/Lookups!Q55,"")</f>
        <v>0.77462310966009662</v>
      </c>
      <c r="P55" s="108">
        <f>IFERROR(Lookups!S55/Lookups!T55,"")</f>
        <v>2.4901262929854422</v>
      </c>
      <c r="Q55" s="107">
        <f>IFERROR((Lookups!L55-Lookups!AA55)/Lookups!AA55,"")</f>
        <v>4.0420934102782767E-2</v>
      </c>
    </row>
    <row r="56" spans="1:17" ht="15" customHeight="1" x14ac:dyDescent="0.3">
      <c r="A56" s="27" t="s">
        <v>40</v>
      </c>
      <c r="B56" s="27" t="s">
        <v>41</v>
      </c>
      <c r="C56" s="28">
        <v>2020</v>
      </c>
      <c r="D56" s="31">
        <f>IFERROR(IF(Lookups!U56=0,1,IF(Lookups!W56=0,1,(Lookups!H56/Lookups!F56)/(Lookups!W56/Lookups!U56))),1)</f>
        <v>0.86132520366010723</v>
      </c>
      <c r="E56" s="31">
        <f>IFERROR(IF(Lookups!U56=0,1,IF(Lookups!F56=0,1,((Lookups!U56-Lookups!V56)/Lookups!U56)/((Lookups!F56-Lookups!G56)/Lookups!F56))),1)</f>
        <v>1.0206555412951646</v>
      </c>
      <c r="F56" s="31">
        <f>IFERROR(IF(Lookups!AA56=0,1,IF((1-(Lookups!X56+Lookups!Y56+Lookups!Z56)/Lookups!AA56)=0,1,(1-(Lookups!I56+Lookups!J56+Lookups!K56)/Lookups!L56)/(1-(Lookups!X56+Lookups!Y56+Lookups!Z56)/Lookups!AA56))),1)</f>
        <v>1.0216088543394901</v>
      </c>
      <c r="G56" s="31">
        <f>IFERROR(IF(Lookups!U56=0,1,Lookups!F56/Lookups!U56),1)</f>
        <v>0.91074826619392002</v>
      </c>
      <c r="H56" s="31">
        <f>IFERROR(IF((Lookups!Y56+Lookups!AC56)=0,1,IF((Lookups!J56+Lookups!N56)=0,1,(Lookups!AC56/(Lookups!Y56+Lookups!AC56))/(Lookups!N56/(Lookups!J56+Lookups!N56)))),1)</f>
        <v>0.94158326172103735</v>
      </c>
      <c r="I56" s="31">
        <f>IFERROR(IF(Lookups!U56=0,1,IF(Lookups!AB56=0,1,(Lookups!M56/Lookups!F56)/(Lookups!AB56/Lookups!U56))),1)</f>
        <v>1.1110252853528528</v>
      </c>
      <c r="J56" s="31">
        <f>IFERROR(IF(Lookups!L56=0,1,(Lookups!O56-Lookups!P56)/Lookups!L56),1)</f>
        <v>-8.1717887495873415E-2</v>
      </c>
      <c r="K56" s="31">
        <f>IFERROR(IF(Lookups!AA56=0,1,IF((Lookups!AF56+Lookups!AG56)=0,1,((Lookups!Q56+Lookups!R56)/Lookups!L56)/((Lookups!AF56+Lookups!AG56)/Lookups!AA56))),1)</f>
        <v>0.86548163633319364</v>
      </c>
      <c r="L56" s="32">
        <f t="shared" si="2"/>
        <v>-3.0317420208876409</v>
      </c>
      <c r="M56" s="29" t="str">
        <f t="shared" si="3"/>
        <v>Non-Manipulator</v>
      </c>
      <c r="N56" s="33">
        <f>IFERROR(Lookups!O56/Lookups!L56,"")</f>
        <v>0.12326011684951595</v>
      </c>
      <c r="O56" s="34">
        <f>IFERROR(Lookups!I56/Lookups!Q56,"")</f>
        <v>0.9180556174066532</v>
      </c>
      <c r="P56" s="34">
        <f>IFERROR(Lookups!S56/Lookups!T56,"")</f>
        <v>1.6492263885055134</v>
      </c>
      <c r="Q56" s="33">
        <f>IFERROR((Lookups!L56-Lookups!AA56)/Lookups!AA56,"")</f>
        <v>3.6542761875203923E-2</v>
      </c>
    </row>
    <row r="57" spans="1:17" ht="15" customHeight="1" x14ac:dyDescent="0.3">
      <c r="A57" s="27" t="s">
        <v>40</v>
      </c>
      <c r="B57" s="27" t="s">
        <v>41</v>
      </c>
      <c r="C57" s="28">
        <v>2021</v>
      </c>
      <c r="D57" s="31">
        <f>IFERROR(IF(Lookups!U57=0,1,IF(Lookups!W57=0,1,(Lookups!H57/Lookups!F57)/(Lookups!W57/Lookups!U57))),1)</f>
        <v>0.96939206075693984</v>
      </c>
      <c r="E57" s="31">
        <f>IFERROR(IF(Lookups!U57=0,1,IF(Lookups!F57=0,1,((Lookups!U57-Lookups!V57)/Lookups!U57)/((Lookups!F57-Lookups!G57)/Lookups!F57))),1)</f>
        <v>0.9763727276477745</v>
      </c>
      <c r="F57" s="31">
        <f>IFERROR(IF(Lookups!AA57=0,1,IF((1-(Lookups!X57+Lookups!Y57+Lookups!Z57)/Lookups!AA57)=0,1,(1-(Lookups!I57+Lookups!J57+Lookups!K57)/Lookups!L57)/(1-(Lookups!X57+Lookups!Y57+Lookups!Z57)/Lookups!AA57))),1)</f>
        <v>0.91697927706789817</v>
      </c>
      <c r="G57" s="31">
        <f>IFERROR(IF(Lookups!U57=0,1,Lookups!F57/Lookups!U57),1)</f>
        <v>1.3479454068960677</v>
      </c>
      <c r="H57" s="31">
        <f>IFERROR(IF((Lookups!Y57+Lookups!AC57)=0,1,IF((Lookups!J57+Lookups!N57)=0,1,(Lookups!AC57/(Lookups!Y57+Lookups!AC57))/(Lookups!N57/(Lookups!J57+Lookups!N57)))),1)</f>
        <v>1.0257025122522554</v>
      </c>
      <c r="I57" s="31">
        <f>IFERROR(IF(Lookups!U57=0,1,IF(Lookups!AB57=0,1,(Lookups!M57/Lookups!F57)/(Lookups!AB57/Lookups!U57))),1)</f>
        <v>0.81246351253591986</v>
      </c>
      <c r="J57" s="31">
        <f>IFERROR(IF(Lookups!L57=0,1,(Lookups!O57-Lookups!P57)/Lookups!L57),1)</f>
        <v>-5.1896242786799669E-2</v>
      </c>
      <c r="K57" s="31">
        <f>IFERROR(IF(Lookups!AA57=0,1,IF((Lookups!AF57+Lookups!AG57)=0,1,((Lookups!Q57+Lookups!R57)/Lookups!L57)/((Lookups!AF57+Lookups!AG57)/Lookups!AA57))),1)</f>
        <v>0.99750735195675611</v>
      </c>
      <c r="L57" s="32">
        <f t="shared" si="2"/>
        <v>-2.4506029323553311</v>
      </c>
      <c r="M57" s="29" t="str">
        <f t="shared" si="3"/>
        <v>Non-Manipulator</v>
      </c>
      <c r="N57" s="33">
        <f>IFERROR(Lookups!O57/Lookups!L57,"")</f>
        <v>9.2010631093302486E-2</v>
      </c>
      <c r="O57" s="34">
        <f>IFERROR(Lookups!I57/Lookups!Q57,"")</f>
        <v>1.0356798332639676</v>
      </c>
      <c r="P57" s="34">
        <f>IFERROR(Lookups!S57/Lookups!T57,"")</f>
        <v>1.7093589703770777</v>
      </c>
      <c r="Q57" s="33">
        <f>IFERROR((Lookups!L57-Lookups!AA57)/Lookups!AA57,"")</f>
        <v>0.24376844624362914</v>
      </c>
    </row>
    <row r="58" spans="1:17" ht="15" customHeight="1" x14ac:dyDescent="0.3">
      <c r="A58" s="27" t="s">
        <v>40</v>
      </c>
      <c r="B58" s="27" t="s">
        <v>41</v>
      </c>
      <c r="C58" s="28">
        <v>2022</v>
      </c>
      <c r="D58" s="31">
        <f>IFERROR(IF(Lookups!U58=0,1,IF(Lookups!W58=0,1,(Lookups!H58/Lookups!F58)/(Lookups!W58/Lookups!U58))),1)</f>
        <v>0.94411283763445164</v>
      </c>
      <c r="E58" s="31">
        <f>IFERROR(IF(Lookups!U58=0,1,IF(Lookups!F58=0,1,((Lookups!U58-Lookups!V58)/Lookups!U58)/((Lookups!F58-Lookups!G58)/Lookups!F58))),1)</f>
        <v>0.99244685616366646</v>
      </c>
      <c r="F58" s="31">
        <f>IFERROR(IF(Lookups!AA58=0,1,IF((1-(Lookups!X58+Lookups!Y58+Lookups!Z58)/Lookups!AA58)=0,1,(1-(Lookups!I58+Lookups!J58+Lookups!K58)/Lookups!L58)/(1-(Lookups!X58+Lookups!Y58+Lookups!Z58)/Lookups!AA58))),1)</f>
        <v>0.73377495571529516</v>
      </c>
      <c r="G58" s="31">
        <f>IFERROR(IF(Lookups!U58=0,1,Lookups!F58/Lookups!U58),1)</f>
        <v>1.7620347668287168</v>
      </c>
      <c r="H58" s="31">
        <f>IFERROR(IF((Lookups!Y58+Lookups!AC58)=0,1,IF((Lookups!J58+Lookups!N58)=0,1,(Lookups!AC58/(Lookups!Y58+Lookups!AC58))/(Lookups!N58/(Lookups!J58+Lookups!N58)))),1)</f>
        <v>1.0347819531183247</v>
      </c>
      <c r="I58" s="31">
        <f>IFERROR(IF(Lookups!U58=0,1,IF(Lookups!AB58=0,1,(Lookups!M58/Lookups!F58)/(Lookups!AB58/Lookups!U58))),1)</f>
        <v>0.76963841037426806</v>
      </c>
      <c r="J58" s="31">
        <f>IFERROR(IF(Lookups!L58=0,1,(Lookups!O58-Lookups!P58)/Lookups!L58),1)</f>
        <v>-8.5176368556866069E-3</v>
      </c>
      <c r="K58" s="31">
        <f>IFERROR(IF(Lookups!AA58=0,1,IF((Lookups!AF58+Lookups!AG58)=0,1,((Lookups!Q58+Lookups!R58)/Lookups!L58)/((Lookups!AF58+Lookups!AG58)/Lookups!AA58))),1)</f>
        <v>0.23260427102077072</v>
      </c>
      <c r="L58" s="32">
        <f t="shared" si="2"/>
        <v>-1.7085176566490108</v>
      </c>
      <c r="M58" s="29" t="str">
        <f t="shared" si="3"/>
        <v>Likely Manipulator</v>
      </c>
      <c r="N58" s="33">
        <f>IFERROR(Lookups!O58/Lookups!L58,"")</f>
        <v>8.897009839881459E-2</v>
      </c>
      <c r="O58" s="34">
        <f>IFERROR(Lookups!I58/Lookups!Q58,"")</f>
        <v>8.0628926047233236</v>
      </c>
      <c r="P58" s="34">
        <f>IFERROR(Lookups!S58/Lookups!T58,"")</f>
        <v>3.0253553800480697</v>
      </c>
      <c r="Q58" s="33">
        <f>IFERROR((Lookups!L58-Lookups!AA58)/Lookups!AA58,"")</f>
        <v>0.56989044400863464</v>
      </c>
    </row>
    <row r="59" spans="1:17" ht="15" customHeight="1" thickBot="1" x14ac:dyDescent="0.35">
      <c r="A59" s="70" t="s">
        <v>40</v>
      </c>
      <c r="B59" s="70" t="s">
        <v>41</v>
      </c>
      <c r="C59" s="71">
        <v>2023</v>
      </c>
      <c r="D59" s="93">
        <f>IFERROR(IF(Lookups!U59=0,1,IF(Lookups!W59=0,1,(Lookups!H59/Lookups!F59)/(Lookups!W59/Lookups!U59))),1)</f>
        <v>1.0555218746113568</v>
      </c>
      <c r="E59" s="93">
        <f>IFERROR(IF(Lookups!U59=0,1,IF(Lookups!F59=0,1,((Lookups!U59-Lookups!V59)/Lookups!U59)/((Lookups!F59-Lookups!G59)/Lookups!F59))),1)</f>
        <v>1.0085546531991967</v>
      </c>
      <c r="F59" s="93">
        <f>IFERROR(IF(Lookups!AA59=0,1,IF((1-(Lookups!X59+Lookups!Y59+Lookups!Z59)/Lookups!AA59)=0,1,(1-(Lookups!I59+Lookups!J59+Lookups!K59)/Lookups!L59)/(1-(Lookups!X59+Lookups!Y59+Lookups!Z59)/Lookups!AA59))),1)</f>
        <v>0.96990703721421312</v>
      </c>
      <c r="G59" s="93">
        <f>IFERROR(IF(Lookups!U59=0,1,Lookups!F59/Lookups!U59),1)</f>
        <v>1.065534153890094</v>
      </c>
      <c r="H59" s="93">
        <f>IFERROR(IF((Lookups!Y59+Lookups!AC59)=0,1,IF((Lookups!J59+Lookups!N59)=0,1,(Lookups!AC59/(Lookups!Y59+Lookups!AC59))/(Lookups!N59/(Lookups!J59+Lookups!N59)))),1)</f>
        <v>0.95670481942823471</v>
      </c>
      <c r="I59" s="93">
        <f>IFERROR(IF(Lookups!U59=0,1,IF(Lookups!AB59=0,1,(Lookups!M59/Lookups!F59)/(Lookups!AB59/Lookups!U59))),1)</f>
        <v>1.1589430695032241</v>
      </c>
      <c r="J59" s="93">
        <f>IFERROR(IF(Lookups!L59=0,1,(Lookups!O59-Lookups!P59)/Lookups!L59),1)</f>
        <v>-2.6496043067102563E-2</v>
      </c>
      <c r="K59" s="93">
        <f>IFERROR(IF(Lookups!AA59=0,1,IF((Lookups!AF59+Lookups!AG59)=0,1,((Lookups!Q59+Lookups!R59)/Lookups!L59)/((Lookups!AF59+Lookups!AG59)/Lookups!AA59))),1)</f>
        <v>0.90381452543509055</v>
      </c>
      <c r="L59" s="94">
        <f t="shared" si="2"/>
        <v>-2.5029435992124252</v>
      </c>
      <c r="M59" s="72" t="str">
        <f t="shared" si="3"/>
        <v>Non-Manipulator</v>
      </c>
      <c r="N59" s="95">
        <f>IFERROR(Lookups!O59/Lookups!L59,"")</f>
        <v>8.7888703864692899E-2</v>
      </c>
      <c r="O59" s="96">
        <f>IFERROR(Lookups!I59/Lookups!Q59,"")</f>
        <v>8.9597294125767935</v>
      </c>
      <c r="P59" s="96">
        <f>IFERROR(Lookups!S59/Lookups!T59,"")</f>
        <v>3.0271778993628766</v>
      </c>
      <c r="Q59" s="95">
        <f>IFERROR((Lookups!L59-Lookups!AA59)/Lookups!AA59,"")</f>
        <v>0.10099275068443291</v>
      </c>
    </row>
    <row r="60" spans="1:17" ht="15" customHeight="1" x14ac:dyDescent="0.3">
      <c r="A60" s="77" t="s">
        <v>43</v>
      </c>
      <c r="B60" s="77" t="s">
        <v>44</v>
      </c>
      <c r="C60" s="78">
        <v>2019</v>
      </c>
      <c r="D60" s="97">
        <f>IFERROR(IF(Lookups!U60=0,1,IF(Lookups!W60=0,1,(Lookups!H60/Lookups!F60)/(Lookups!W60/Lookups!U60))),1)</f>
        <v>0.85118417680266167</v>
      </c>
      <c r="E60" s="97">
        <f>IFERROR(IF(Lookups!U60=0,1,IF(Lookups!F60=0,1,((Lookups!U60-Lookups!V60)/Lookups!U60)/((Lookups!F60-Lookups!G60)/Lookups!F60))),1)</f>
        <v>0.8296416497650978</v>
      </c>
      <c r="F60" s="97">
        <f>IFERROR(IF(Lookups!AA60=0,1,IF((1-(Lookups!X60+Lookups!Y60+Lookups!Z60)/Lookups!AA60)=0,1,(1-(Lookups!I60+Lookups!J60+Lookups!K60)/Lookups!L60)/(1-(Lookups!X60+Lookups!Y60+Lookups!Z60)/Lookups!AA60))),1)</f>
        <v>1</v>
      </c>
      <c r="G60" s="97">
        <f>IFERROR(IF(Lookups!U60=0,1,Lookups!F60/Lookups!U60),1)</f>
        <v>0.52723079259418626</v>
      </c>
      <c r="H60" s="97">
        <f>IFERROR(IF((Lookups!Y60+Lookups!AC60)=0,1,IF((Lookups!J60+Lookups!N60)=0,1,(Lookups!AC60/(Lookups!Y60+Lookups!AC60))/(Lookups!N60/(Lookups!J60+Lookups!N60)))),1)</f>
        <v>1.0672244807440545</v>
      </c>
      <c r="I60" s="97">
        <f>IFERROR(IF(Lookups!U60=0,1,IF(Lookups!AB60=0,1,(Lookups!M60/Lookups!F60)/(Lookups!AB60/Lookups!U60))),1)</f>
        <v>2.5446338547829868</v>
      </c>
      <c r="J60" s="97">
        <f>IFERROR(IF(Lookups!L60=0,1,(Lookups!O60-Lookups!P60)/Lookups!L60),1)</f>
        <v>-0.44272546450276895</v>
      </c>
      <c r="K60" s="97">
        <f>IFERROR(IF(Lookups!AA60=0,1,IF((Lookups!AF60+Lookups!AG60)=0,1,((Lookups!Q60+Lookups!R60)/Lookups!L60)/((Lookups!AF60+Lookups!AG60)/Lookups!AA60))),1)</f>
        <v>1.4176116166935597</v>
      </c>
      <c r="L60" s="98">
        <f t="shared" si="2"/>
        <v>-5.5945875540759227</v>
      </c>
      <c r="M60" s="79" t="str">
        <f t="shared" si="3"/>
        <v>Non-Manipulator</v>
      </c>
      <c r="N60" s="99">
        <f>IFERROR(Lookups!O60/Lookups!L60,"")</f>
        <v>-0.32772461614255721</v>
      </c>
      <c r="O60" s="100">
        <f>IFERROR(Lookups!I60/Lookups!Q60,"")</f>
        <v>0.72442441314553996</v>
      </c>
      <c r="P60" s="100">
        <f>IFERROR(Lookups!S60/Lookups!T60,"")</f>
        <v>4.7582988040305114</v>
      </c>
      <c r="Q60" s="99">
        <f>IFERROR((Lookups!L60-Lookups!AA60)/Lookups!AA60,"")</f>
        <v>-0.32665418656829415</v>
      </c>
    </row>
    <row r="61" spans="1:17" ht="15" customHeight="1" x14ac:dyDescent="0.3">
      <c r="A61" s="27" t="s">
        <v>43</v>
      </c>
      <c r="B61" s="27" t="s">
        <v>44</v>
      </c>
      <c r="C61" s="28">
        <v>2020</v>
      </c>
      <c r="D61" s="31">
        <f>IFERROR(IF(Lookups!U61=0,1,IF(Lookups!W61=0,1,(Lookups!H61/Lookups!F61)/(Lookups!W61/Lookups!U61))),1)</f>
        <v>0.36177541806709518</v>
      </c>
      <c r="E61" s="31">
        <f>IFERROR(IF(Lookups!U61=0,1,IF(Lookups!F61=0,1,((Lookups!U61-Lookups!V61)/Lookups!U61)/((Lookups!F61-Lookups!G61)/Lookups!F61))),1)</f>
        <v>1.1130617177495821</v>
      </c>
      <c r="F61" s="31">
        <f>IFERROR(IF(Lookups!AA61=0,1,IF((1-(Lookups!X61+Lookups!Y61+Lookups!Z61)/Lookups!AA61)=0,1,(1-(Lookups!I61+Lookups!J61+Lookups!K61)/Lookups!L61)/(1-(Lookups!X61+Lookups!Y61+Lookups!Z61)/Lookups!AA61))),1)</f>
        <v>0.85736196140741039</v>
      </c>
      <c r="G61" s="31">
        <f>IFERROR(IF(Lookups!U61=0,1,Lookups!F61/Lookups!U61),1)</f>
        <v>1.2721833838398993</v>
      </c>
      <c r="H61" s="31">
        <f>IFERROR(IF((Lookups!Y61+Lookups!AC61)=0,1,IF((Lookups!J61+Lookups!N61)=0,1,(Lookups!AC61/(Lookups!Y61+Lookups!AC61))/(Lookups!N61/(Lookups!J61+Lookups!N61)))),1)</f>
        <v>0.74750461317110861</v>
      </c>
      <c r="I61" s="31">
        <f>IFERROR(IF(Lookups!U61=0,1,IF(Lookups!AB61=0,1,(Lookups!M61/Lookups!F61)/(Lookups!AB61/Lookups!U61))),1)</f>
        <v>0.58420888192825349</v>
      </c>
      <c r="J61" s="31">
        <f>IFERROR(IF(Lookups!L61=0,1,(Lookups!O61-Lookups!P61)/Lookups!L61),1)</f>
        <v>-0.33632479645409402</v>
      </c>
      <c r="K61" s="31">
        <f>IFERROR(IF(Lookups!AA61=0,1,IF((Lookups!AF61+Lookups!AG61)=0,1,((Lookups!Q61+Lookups!R61)/Lookups!L61)/((Lookups!AF61+Lookups!AG61)/Lookups!AA61))),1)</f>
        <v>1.0802910101214283</v>
      </c>
      <c r="L61" s="32">
        <f t="shared" si="2"/>
        <v>-4.3797479977081037</v>
      </c>
      <c r="M61" s="29" t="str">
        <f t="shared" si="3"/>
        <v>Non-Manipulator</v>
      </c>
      <c r="N61" s="33">
        <f>IFERROR(Lookups!O61/Lookups!L61,"")</f>
        <v>-0.1488522025622489</v>
      </c>
      <c r="O61" s="34">
        <f>IFERROR(Lookups!I61/Lookups!Q61,"")</f>
        <v>0.55746962331907857</v>
      </c>
      <c r="P61" s="34">
        <f>IFERROR(Lookups!S61/Lookups!T61,"")</f>
        <v>8.3110430632569177</v>
      </c>
      <c r="Q61" s="33">
        <f>IFERROR((Lookups!L61-Lookups!AA61)/Lookups!AA61,"")</f>
        <v>-0.31003579466820941</v>
      </c>
    </row>
    <row r="62" spans="1:17" ht="15" customHeight="1" x14ac:dyDescent="0.3">
      <c r="A62" s="27" t="s">
        <v>43</v>
      </c>
      <c r="B62" s="27" t="s">
        <v>44</v>
      </c>
      <c r="C62" s="28">
        <v>2021</v>
      </c>
      <c r="D62" s="31">
        <f>IFERROR(IF(Lookups!U62=0,1,IF(Lookups!W62=0,1,(Lookups!H62/Lookups!F62)/(Lookups!W62/Lookups!U62))),1)</f>
        <v>0.73492628424560624</v>
      </c>
      <c r="E62" s="31">
        <f>IFERROR(IF(Lookups!U62=0,1,IF(Lookups!F62=0,1,((Lookups!U62-Lookups!V62)/Lookups!U62)/((Lookups!F62-Lookups!G62)/Lookups!F62))),1)</f>
        <v>1.0124024722734037</v>
      </c>
      <c r="F62" s="31">
        <f>IFERROR(IF(Lookups!AA62=0,1,IF((1-(Lookups!X62+Lookups!Y62+Lookups!Z62)/Lookups!AA62)=0,1,(1-(Lookups!I62+Lookups!J62+Lookups!K62)/Lookups!L62)/(1-(Lookups!X62+Lookups!Y62+Lookups!Z62)/Lookups!AA62))),1)</f>
        <v>0.8511561550202108</v>
      </c>
      <c r="G62" s="31">
        <f>IFERROR(IF(Lookups!U62=0,1,Lookups!F62/Lookups!U62),1)</f>
        <v>1.2426993957632675</v>
      </c>
      <c r="H62" s="31">
        <f>IFERROR(IF((Lookups!Y62+Lookups!AC62)=0,1,IF((Lookups!J62+Lookups!N62)=0,1,(Lookups!AC62/(Lookups!Y62+Lookups!AC62))/(Lookups!N62/(Lookups!J62+Lookups!N62)))),1)</f>
        <v>0.91905970948573035</v>
      </c>
      <c r="I62" s="31">
        <f>IFERROR(IF(Lookups!U62=0,1,IF(Lookups!AB62=0,1,(Lookups!M62/Lookups!F62)/(Lookups!AB62/Lookups!U62))),1)</f>
        <v>0.94612371257337369</v>
      </c>
      <c r="J62" s="31">
        <f>IFERROR(IF(Lookups!L62=0,1,(Lookups!O62-Lookups!P62)/Lookups!L62),1)</f>
        <v>-7.0083990997043457E-3</v>
      </c>
      <c r="K62" s="31">
        <f>IFERROR(IF(Lookups!AA62=0,1,IF((Lookups!AF62+Lookups!AG62)=0,1,((Lookups!Q62+Lookups!R62)/Lookups!L62)/((Lookups!AF62+Lookups!AG62)/Lookups!AA62))),1)</f>
        <v>1.0122745268717055</v>
      </c>
      <c r="L62" s="32">
        <f t="shared" si="2"/>
        <v>-2.5978118471310108</v>
      </c>
      <c r="M62" s="29" t="str">
        <f t="shared" si="3"/>
        <v>Non-Manipulator</v>
      </c>
      <c r="N62" s="33">
        <f>IFERROR(Lookups!O62/Lookups!L62,"")</f>
        <v>9.1493460831649413E-4</v>
      </c>
      <c r="O62" s="34">
        <f>IFERROR(Lookups!I62/Lookups!Q62,"")</f>
        <v>0.63428502829904165</v>
      </c>
      <c r="P62" s="34">
        <f>IFERROR(Lookups!S62/Lookups!T62,"")</f>
        <v>9.4024854516778156</v>
      </c>
      <c r="Q62" s="33">
        <f>IFERROR((Lookups!L62-Lookups!AA62)/Lookups!AA62,"")</f>
        <v>0.13340108320790717</v>
      </c>
    </row>
    <row r="63" spans="1:17" ht="15" customHeight="1" x14ac:dyDescent="0.3">
      <c r="A63" s="27" t="s">
        <v>43</v>
      </c>
      <c r="B63" s="27" t="s">
        <v>44</v>
      </c>
      <c r="C63" s="28">
        <v>2022</v>
      </c>
      <c r="D63" s="31">
        <f>IFERROR(IF(Lookups!U63=0,1,IF(Lookups!W63=0,1,(Lookups!H63/Lookups!F63)/(Lookups!W63/Lookups!U63))),1)</f>
        <v>0.37016439583411925</v>
      </c>
      <c r="E63" s="31">
        <f>IFERROR(IF(Lookups!U63=0,1,IF(Lookups!F63=0,1,((Lookups!U63-Lookups!V63)/Lookups!U63)/((Lookups!F63-Lookups!G63)/Lookups!F63))),1)</f>
        <v>1.0354867397481222</v>
      </c>
      <c r="F63" s="31">
        <f>IFERROR(IF(Lookups!AA63=0,1,IF((1-(Lookups!X63+Lookups!Y63+Lookups!Z63)/Lookups!AA63)=0,1,(1-(Lookups!I63+Lookups!J63+Lookups!K63)/Lookups!L63)/(1-(Lookups!X63+Lookups!Y63+Lookups!Z63)/Lookups!AA63))),1)</f>
        <v>1.2549266994569552</v>
      </c>
      <c r="G63" s="31">
        <f>IFERROR(IF(Lookups!U63=0,1,Lookups!F63/Lookups!U63),1)</f>
        <v>1.1984486973156807</v>
      </c>
      <c r="H63" s="31">
        <f>IFERROR(IF((Lookups!Y63+Lookups!AC63)=0,1,IF((Lookups!J63+Lookups!N63)=0,1,(Lookups!AC63/(Lookups!Y63+Lookups!AC63))/(Lookups!N63/(Lookups!J63+Lookups!N63)))),1)</f>
        <v>0.9646584697905547</v>
      </c>
      <c r="I63" s="31">
        <f>IFERROR(IF(Lookups!U63=0,1,IF(Lookups!AB63=0,1,(Lookups!M63/Lookups!F63)/(Lookups!AB63/Lookups!U63))),1)</f>
        <v>0.74199788012014412</v>
      </c>
      <c r="J63" s="31">
        <f>IFERROR(IF(Lookups!L63=0,1,(Lookups!O63-Lookups!P63)/Lookups!L63),1)</f>
        <v>-0.11383981697809857</v>
      </c>
      <c r="K63" s="31">
        <f>IFERROR(IF(Lookups!AA63=0,1,IF((Lookups!AF63+Lookups!AG63)=0,1,((Lookups!Q63+Lookups!R63)/Lookups!L63)/((Lookups!AF63+Lookups!AG63)/Lookups!AA63))),1)</f>
        <v>0.94056986889320504</v>
      </c>
      <c r="L63" s="32">
        <f t="shared" si="2"/>
        <v>-3.2336158947827567</v>
      </c>
      <c r="M63" s="29" t="str">
        <f t="shared" si="3"/>
        <v>Non-Manipulator</v>
      </c>
      <c r="N63" s="33">
        <f>IFERROR(Lookups!O63/Lookups!L63,"")</f>
        <v>3.6623809361900551E-2</v>
      </c>
      <c r="O63" s="34">
        <f>IFERROR(Lookups!I63/Lookups!Q63,"")</f>
        <v>0.66829494020505253</v>
      </c>
      <c r="P63" s="34">
        <f>IFERROR(Lookups!S63/Lookups!T63,"")</f>
        <v>6.7957135824908175</v>
      </c>
      <c r="Q63" s="33">
        <f>IFERROR((Lookups!L63-Lookups!AA63)/Lookups!AA63,"")</f>
        <v>7.6365670607856415E-2</v>
      </c>
    </row>
    <row r="64" spans="1:17" ht="15" customHeight="1" thickBot="1" x14ac:dyDescent="0.35">
      <c r="A64" s="81" t="s">
        <v>43</v>
      </c>
      <c r="B64" s="81" t="s">
        <v>44</v>
      </c>
      <c r="C64" s="82">
        <v>2023</v>
      </c>
      <c r="D64" s="101">
        <f>IFERROR(IF(Lookups!U64=0,1,IF(Lookups!W64=0,1,(Lookups!H64/Lookups!F64)/(Lookups!W64/Lookups!U64))),1)</f>
        <v>1.0586230794672085</v>
      </c>
      <c r="E64" s="101">
        <f>IFERROR(IF(Lookups!U64=0,1,IF(Lookups!F64=0,1,((Lookups!U64-Lookups!V64)/Lookups!U64)/((Lookups!F64-Lookups!G64)/Lookups!F64))),1)</f>
        <v>1.0776245184781226</v>
      </c>
      <c r="F64" s="101">
        <f>IFERROR(IF(Lookups!AA64=0,1,IF((1-(Lookups!X64+Lookups!Y64+Lookups!Z64)/Lookups!AA64)=0,1,(1-(Lookups!I64+Lookups!J64+Lookups!K64)/Lookups!L64)/(1-(Lookups!X64+Lookups!Y64+Lookups!Z64)/Lookups!AA64))),1)</f>
        <v>0.58909015913729623</v>
      </c>
      <c r="G64" s="101">
        <f>IFERROR(IF(Lookups!U64=0,1,Lookups!F64/Lookups!U64),1)</f>
        <v>1.4389233495440055</v>
      </c>
      <c r="H64" s="101">
        <f>IFERROR(IF((Lookups!Y64+Lookups!AC64)=0,1,IF((Lookups!J64+Lookups!N64)=0,1,(Lookups!AC64/(Lookups!Y64+Lookups!AC64))/(Lookups!N64/(Lookups!J64+Lookups!N64)))),1)</f>
        <v>0.85172292032368369</v>
      </c>
      <c r="I64" s="101">
        <f>IFERROR(IF(Lookups!U64=0,1,IF(Lookups!AB64=0,1,(Lookups!M64/Lookups!F64)/(Lookups!AB64/Lookups!U64))),1)</f>
        <v>0.24841192967585773</v>
      </c>
      <c r="J64" s="101">
        <f>IFERROR(IF(Lookups!L64=0,1,(Lookups!O64-Lookups!P64)/Lookups!L64),1)</f>
        <v>-0.1472364233128983</v>
      </c>
      <c r="K64" s="101">
        <f>IFERROR(IF(Lookups!AA64=0,1,IF((Lookups!AF64+Lookups!AG64)=0,1,((Lookups!Q64+Lookups!R64)/Lookups!L64)/((Lookups!AF64+Lookups!AG64)/Lookups!AA64))),1)</f>
        <v>0.574878419998196</v>
      </c>
      <c r="L64" s="102">
        <f t="shared" si="2"/>
        <v>-2.5972521531364849</v>
      </c>
      <c r="M64" s="83" t="str">
        <f t="shared" si="3"/>
        <v>Non-Manipulator</v>
      </c>
      <c r="N64" s="103">
        <f>IFERROR(Lookups!O64/Lookups!L64,"")</f>
        <v>0.34286967883314307</v>
      </c>
      <c r="O64" s="104">
        <f>IFERROR(Lookups!I64/Lookups!Q64,"")</f>
        <v>1.3192381468872083</v>
      </c>
      <c r="P64" s="104">
        <f>IFERROR(Lookups!S64/Lookups!T64,"")</f>
        <v>1.1285454085765736</v>
      </c>
      <c r="Q64" s="103">
        <f>IFERROR((Lookups!L64-Lookups!AA64)/Lookups!AA64,"")</f>
        <v>1.8773345249833639E-3</v>
      </c>
    </row>
    <row r="65" spans="1:17" ht="15" customHeight="1" x14ac:dyDescent="0.3">
      <c r="A65" s="85" t="s">
        <v>45</v>
      </c>
      <c r="B65" s="85" t="s">
        <v>46</v>
      </c>
      <c r="C65" s="86">
        <v>2019</v>
      </c>
      <c r="D65" s="105">
        <f>IFERROR(IF(Lookups!U65=0,1,IF(Lookups!W65=0,1,(Lookups!H65/Lookups!F65)/(Lookups!W65/Lookups!U65))),1)</f>
        <v>1</v>
      </c>
      <c r="E65" s="105">
        <f>IFERROR(IF(Lookups!U65=0,1,IF(Lookups!F65=0,1,((Lookups!U65-Lookups!V65)/Lookups!U65)/((Lookups!F65-Lookups!G65)/Lookups!F65))),1)</f>
        <v>0.61083076466616815</v>
      </c>
      <c r="F65" s="105">
        <f>IFERROR(IF(Lookups!AA65=0,1,IF((1-(Lookups!X65+Lookups!Y65+Lookups!Z65)/Lookups!AA65)=0,1,(1-(Lookups!I65+Lookups!J65+Lookups!K65)/Lookups!L65)/(1-(Lookups!X65+Lookups!Y65+Lookups!Z65)/Lookups!AA65))),1)</f>
        <v>1.1592841540764189</v>
      </c>
      <c r="G65" s="105">
        <f>IFERROR(IF(Lookups!U65=0,1,Lookups!F65/Lookups!U65),1)</f>
        <v>0.18617531795997605</v>
      </c>
      <c r="H65" s="105">
        <f>IFERROR(IF((Lookups!Y65+Lookups!AC65)=0,1,IF((Lookups!J65+Lookups!N65)=0,1,(Lookups!AC65/(Lookups!Y65+Lookups!AC65))/(Lookups!N65/(Lookups!J65+Lookups!N65)))),1)</f>
        <v>3.3267683371664973</v>
      </c>
      <c r="I65" s="105">
        <f>IFERROR(IF(Lookups!U65=0,1,IF(Lookups!AB65=0,1,(Lookups!M65/Lookups!F65)/(Lookups!AB65/Lookups!U65))),1)</f>
        <v>10.023575888706327</v>
      </c>
      <c r="J65" s="105">
        <f>IFERROR(IF(Lookups!L65=0,1,(Lookups!O65-Lookups!P65)/Lookups!L65),1)</f>
        <v>9.0301372080314912E-2</v>
      </c>
      <c r="K65" s="105">
        <f>IFERROR(IF(Lookups!AA65=0,1,IF((Lookups!AF65+Lookups!AG65)=0,1,((Lookups!Q65+Lookups!R65)/Lookups!L65)/((Lookups!AF65+Lookups!AG65)/Lookups!AA65))),1)</f>
        <v>1.2520671061841684</v>
      </c>
      <c r="L65" s="106">
        <f t="shared" si="2"/>
        <v>-4.2914446922308622</v>
      </c>
      <c r="M65" s="87" t="str">
        <f t="shared" si="3"/>
        <v>Non-Manipulator</v>
      </c>
      <c r="N65" s="107">
        <f>IFERROR(Lookups!O65/Lookups!L65,"")</f>
        <v>-0.18795379291791128</v>
      </c>
      <c r="O65" s="108">
        <f>IFERROR(Lookups!I65/Lookups!Q65,"")</f>
        <v>3.9354764072006381</v>
      </c>
      <c r="P65" s="108">
        <f>IFERROR(Lookups!S65/Lookups!T65,"")</f>
        <v>0.63101479551813677</v>
      </c>
      <c r="Q65" s="107">
        <f>IFERROR((Lookups!L65-Lookups!AA65)/Lookups!AA65,"")</f>
        <v>-0.13739871585091848</v>
      </c>
    </row>
    <row r="66" spans="1:17" ht="15" customHeight="1" x14ac:dyDescent="0.3">
      <c r="A66" s="27" t="s">
        <v>45</v>
      </c>
      <c r="B66" s="27" t="s">
        <v>46</v>
      </c>
      <c r="C66" s="28">
        <v>2020</v>
      </c>
      <c r="D66" s="31">
        <f>IFERROR(IF(Lookups!U66=0,1,IF(Lookups!W66=0,1,(Lookups!H66/Lookups!F66)/(Lookups!W66/Lookups!U66))),1)</f>
        <v>5.7684573443571177</v>
      </c>
      <c r="E66" s="31">
        <f>IFERROR(IF(Lookups!U66=0,1,IF(Lookups!F66=0,1,((Lookups!U66-Lookups!V66)/Lookups!U66)/((Lookups!F66-Lookups!G66)/Lookups!F66))),1)</f>
        <v>1.1836465485730998</v>
      </c>
      <c r="F66" s="31">
        <f>IFERROR(IF(Lookups!AA66=0,1,IF((1-(Lookups!X66+Lookups!Y66+Lookups!Z66)/Lookups!AA66)=0,1,(1-(Lookups!I66+Lookups!J66+Lookups!K66)/Lookups!L66)/(1-(Lookups!X66+Lookups!Y66+Lookups!Z66)/Lookups!AA66))),1)</f>
        <v>1.0565020304551056</v>
      </c>
      <c r="G66" s="31">
        <f>IFERROR(IF(Lookups!U66=0,1,Lookups!F66/Lookups!U66),1)</f>
        <v>0.1479180523172951</v>
      </c>
      <c r="H66" s="31">
        <f>IFERROR(IF((Lookups!Y66+Lookups!AC66)=0,1,IF((Lookups!J66+Lookups!N66)=0,1,(Lookups!AC66/(Lookups!Y66+Lookups!AC66))/(Lookups!N66/(Lookups!J66+Lookups!N66)))),1)</f>
        <v>0.14271296682722784</v>
      </c>
      <c r="I66" s="31">
        <f>IFERROR(IF(Lookups!U66=0,1,IF(Lookups!AB66=0,1,(Lookups!M66/Lookups!F66)/(Lookups!AB66/Lookups!U66))),1)</f>
        <v>1.0332989804042463</v>
      </c>
      <c r="J66" s="31">
        <f>IFERROR(IF(Lookups!L66=0,1,(Lookups!O66-Lookups!P66)/Lookups!L66),1)</f>
        <v>-0.117266594579789</v>
      </c>
      <c r="K66" s="31">
        <f>IFERROR(IF(Lookups!AA66=0,1,IF((Lookups!AF66+Lookups!AG66)=0,1,((Lookups!Q66+Lookups!R66)/Lookups!L66)/((Lookups!AF66+Lookups!AG66)/Lookups!AA66))),1)</f>
        <v>1.2242646907298809</v>
      </c>
      <c r="L66" s="32">
        <f t="shared" si="2"/>
        <v>0.54037547407413244</v>
      </c>
      <c r="M66" s="29" t="str">
        <f t="shared" si="3"/>
        <v>Likely Manipulator</v>
      </c>
      <c r="N66" s="33">
        <f>IFERROR(Lookups!O66/Lookups!L66,"")</f>
        <v>-0.12140684987168017</v>
      </c>
      <c r="O66" s="34">
        <f>IFERROR(Lookups!I66/Lookups!Q66,"")</f>
        <v>3.0638890874008431</v>
      </c>
      <c r="P66" s="34">
        <f>IFERROR(Lookups!S66/Lookups!T66,"")</f>
        <v>0.89987424093701862</v>
      </c>
      <c r="Q66" s="33">
        <f>IFERROR((Lookups!L66-Lookups!AA66)/Lookups!AA66,"")</f>
        <v>-5.3480285722467047E-2</v>
      </c>
    </row>
    <row r="67" spans="1:17" ht="15" customHeight="1" x14ac:dyDescent="0.3">
      <c r="A67" s="27" t="s">
        <v>45</v>
      </c>
      <c r="B67" s="27" t="s">
        <v>46</v>
      </c>
      <c r="C67" s="28">
        <v>2021</v>
      </c>
      <c r="D67" s="31">
        <f>IFERROR(IF(Lookups!U67=0,1,IF(Lookups!W67=0,1,(Lookups!H67/Lookups!F67)/(Lookups!W67/Lookups!U67))),1)</f>
        <v>0.34515304521381773</v>
      </c>
      <c r="E67" s="31">
        <f>IFERROR(IF(Lookups!U67=0,1,IF(Lookups!F67=0,1,((Lookups!U67-Lookups!V67)/Lookups!U67)/((Lookups!F67-Lookups!G67)/Lookups!F67))),1)</f>
        <v>1.293102799218806</v>
      </c>
      <c r="F67" s="31">
        <f>IFERROR(IF(Lookups!AA67=0,1,IF((1-(Lookups!X67+Lookups!Y67+Lookups!Z67)/Lookups!AA67)=0,1,(1-(Lookups!I67+Lookups!J67+Lookups!K67)/Lookups!L67)/(1-(Lookups!X67+Lookups!Y67+Lookups!Z67)/Lookups!AA67))),1)</f>
        <v>1.033217963187081</v>
      </c>
      <c r="G67" s="31">
        <f>IFERROR(IF(Lookups!U67=0,1,Lookups!F67/Lookups!U67),1)</f>
        <v>3.0256777678953783</v>
      </c>
      <c r="H67" s="31">
        <f>IFERROR(IF((Lookups!Y67+Lookups!AC67)=0,1,IF((Lookups!J67+Lookups!N67)=0,1,(Lookups!AC67/(Lookups!Y67+Lookups!AC67))/(Lookups!N67/(Lookups!J67+Lookups!N67)))),1)</f>
        <v>0.8927971363738183</v>
      </c>
      <c r="I67" s="31">
        <f>IFERROR(IF(Lookups!U67=0,1,IF(Lookups!AB67=0,1,(Lookups!M67/Lookups!F67)/(Lookups!AB67/Lookups!U67))),1)</f>
        <v>0.13541698720200551</v>
      </c>
      <c r="J67" s="31">
        <f>IFERROR(IF(Lookups!L67=0,1,(Lookups!O67-Lookups!P67)/Lookups!L67),1)</f>
        <v>-4.2058858706424639E-2</v>
      </c>
      <c r="K67" s="31">
        <f>IFERROR(IF(Lookups!AA67=0,1,IF((Lookups!AF67+Lookups!AG67)=0,1,((Lookups!Q67+Lookups!R67)/Lookups!L67)/((Lookups!AF67+Lookups!AG67)/Lookups!AA67))),1)</f>
        <v>1.0304668233504035</v>
      </c>
      <c r="L67" s="32">
        <f t="shared" si="2"/>
        <v>-1.1777523965641978</v>
      </c>
      <c r="M67" s="29" t="str">
        <f t="shared" si="3"/>
        <v>Likely Manipulator</v>
      </c>
      <c r="N67" s="33">
        <f>IFERROR(Lookups!O67/Lookups!L67,"")</f>
        <v>-3.1913852233138619E-2</v>
      </c>
      <c r="O67" s="34">
        <f>IFERROR(Lookups!I67/Lookups!Q67,"")</f>
        <v>3.0213802026765393</v>
      </c>
      <c r="P67" s="34">
        <f>IFERROR(Lookups!S67/Lookups!T67,"")</f>
        <v>0.95343008479921199</v>
      </c>
      <c r="Q67" s="33">
        <f>IFERROR((Lookups!L67-Lookups!AA67)/Lookups!AA67,"")</f>
        <v>-3.2148162989287868E-2</v>
      </c>
    </row>
    <row r="68" spans="1:17" ht="15" customHeight="1" x14ac:dyDescent="0.3">
      <c r="A68" s="27" t="s">
        <v>45</v>
      </c>
      <c r="B68" s="27" t="s">
        <v>46</v>
      </c>
      <c r="C68" s="28">
        <v>2022</v>
      </c>
      <c r="D68" s="31">
        <f>IFERROR(IF(Lookups!U68=0,1,IF(Lookups!W68=0,1,(Lookups!H68/Lookups!F68)/(Lookups!W68/Lookups!U68))),1)</f>
        <v>0.99468419641503336</v>
      </c>
      <c r="E68" s="31">
        <f>IFERROR(IF(Lookups!U68=0,1,IF(Lookups!F68=0,1,((Lookups!U68-Lookups!V68)/Lookups!U68)/((Lookups!F68-Lookups!G68)/Lookups!F68))),1)</f>
        <v>0.90614917801561767</v>
      </c>
      <c r="F68" s="31">
        <f>IFERROR(IF(Lookups!AA68=0,1,IF((1-(Lookups!X68+Lookups!Y68+Lookups!Z68)/Lookups!AA68)=0,1,(1-(Lookups!I68+Lookups!J68+Lookups!K68)/Lookups!L68)/(1-(Lookups!X68+Lookups!Y68+Lookups!Z68)/Lookups!AA68))),1)</f>
        <v>1.003171118003342</v>
      </c>
      <c r="G68" s="31">
        <f>IFERROR(IF(Lookups!U68=0,1,Lookups!F68/Lookups!U68),1)</f>
        <v>1.3835526208349438</v>
      </c>
      <c r="H68" s="31">
        <f>IFERROR(IF((Lookups!Y68+Lookups!AC68)=0,1,IF((Lookups!J68+Lookups!N68)=0,1,(Lookups!AC68/(Lookups!Y68+Lookups!AC68))/(Lookups!N68/(Lookups!J68+Lookups!N68)))),1)</f>
        <v>2.4295734521743078</v>
      </c>
      <c r="I68" s="31">
        <f>IFERROR(IF(Lookups!U68=0,1,IF(Lookups!AB68=0,1,(Lookups!M68/Lookups!F68)/(Lookups!AB68/Lookups!U68))),1)</f>
        <v>0.61057821508494492</v>
      </c>
      <c r="J68" s="31">
        <f>IFERROR(IF(Lookups!L68=0,1,(Lookups!O68-Lookups!P68)/Lookups!L68),1)</f>
        <v>-9.8142486013442411E-3</v>
      </c>
      <c r="K68" s="31">
        <f>IFERROR(IF(Lookups!AA68=0,1,IF((Lookups!AF68+Lookups!AG68)=0,1,((Lookups!Q68+Lookups!R68)/Lookups!L68)/((Lookups!AF68+Lookups!AG68)/Lookups!AA68))),1)</f>
        <v>1.0354000936924277</v>
      </c>
      <c r="L68" s="32">
        <f t="shared" si="2"/>
        <v>-2.0171489096854813</v>
      </c>
      <c r="M68" s="29" t="str">
        <f t="shared" si="3"/>
        <v>Likely Manipulator</v>
      </c>
      <c r="N68" s="33">
        <f>IFERROR(Lookups!O68/Lookups!L68,"")</f>
        <v>-1.8902600684813704E-2</v>
      </c>
      <c r="O68" s="34">
        <f>IFERROR(Lookups!I68/Lookups!Q68,"")</f>
        <v>2.8637035388994252</v>
      </c>
      <c r="P68" s="34">
        <f>IFERROR(Lookups!S68/Lookups!T68,"")</f>
        <v>1.0216643169659023</v>
      </c>
      <c r="Q68" s="33">
        <f>IFERROR((Lookups!L68-Lookups!AA68)/Lookups!AA68,"")</f>
        <v>-3.1629914835626075E-3</v>
      </c>
    </row>
    <row r="69" spans="1:17" ht="15" customHeight="1" thickBot="1" x14ac:dyDescent="0.35">
      <c r="A69" s="70" t="s">
        <v>45</v>
      </c>
      <c r="B69" s="70" t="s">
        <v>46</v>
      </c>
      <c r="C69" s="71">
        <v>2023</v>
      </c>
      <c r="D69" s="93">
        <f>IFERROR(IF(Lookups!U69=0,1,IF(Lookups!W69=0,1,(Lookups!H69/Lookups!F69)/(Lookups!W69/Lookups!U69))),1)</f>
        <v>0</v>
      </c>
      <c r="E69" s="93">
        <f>IFERROR(IF(Lookups!U69=0,1,IF(Lookups!F69=0,1,((Lookups!U69-Lookups!V69)/Lookups!U69)/((Lookups!F69-Lookups!G69)/Lookups!F69))),1)</f>
        <v>1.0580000578345936</v>
      </c>
      <c r="F69" s="93">
        <f>IFERROR(IF(Lookups!AA69=0,1,IF((1-(Lookups!X69+Lookups!Y69+Lookups!Z69)/Lookups!AA69)=0,1,(1-(Lookups!I69+Lookups!J69+Lookups!K69)/Lookups!L69)/(1-(Lookups!X69+Lookups!Y69+Lookups!Z69)/Lookups!AA69))),1)</f>
        <v>0</v>
      </c>
      <c r="G69" s="93">
        <f>IFERROR(IF(Lookups!U69=0,1,Lookups!F69/Lookups!U69),1)</f>
        <v>1.7038164935473716</v>
      </c>
      <c r="H69" s="93">
        <f>IFERROR(IF((Lookups!Y69+Lookups!AC69)=0,1,IF((Lookups!J69+Lookups!N69)=0,1,(Lookups!AC69/(Lookups!Y69+Lookups!AC69))/(Lookups!N69/(Lookups!J69+Lookups!N69)))),1)</f>
        <v>38.653036261764555</v>
      </c>
      <c r="I69" s="93">
        <f>IFERROR(IF(Lookups!U69=0,1,IF(Lookups!AB69=0,1,(Lookups!M69/Lookups!F69)/(Lookups!AB69/Lookups!U69))),1)</f>
        <v>0.79977339875761144</v>
      </c>
      <c r="J69" s="93">
        <f>IFERROR(IF(Lookups!L69=0,1,(Lookups!O69-Lookups!P69)/Lookups!L69),1)</f>
        <v>-1.8958911224608854E-2</v>
      </c>
      <c r="K69" s="93">
        <f>IFERROR(IF(Lookups!AA69=0,1,IF((Lookups!AF69+Lookups!AG69)=0,1,((Lookups!Q69+Lookups!R69)/Lookups!L69)/((Lookups!AF69+Lookups!AG69)/Lookups!AA69))),1)</f>
        <v>0.64728412391366785</v>
      </c>
      <c r="L69" s="94">
        <f t="shared" ref="L69:L98" si="4">IFERROR(-4.84+0.92*D69+0.528*E69+0.404*F69+0.892*G69+0.115*H69-0.172*I69+4.679*J69-0.327*K69,"")</f>
        <v>1.2455958341578213</v>
      </c>
      <c r="M69" s="72" t="str">
        <f t="shared" ref="M69:M98" si="5">IF(L69="","",IF(L69&gt;-2.22,"Likely Manipulator","Non-Manipulator"))</f>
        <v>Likely Manipulator</v>
      </c>
      <c r="N69" s="95">
        <f>IFERROR(Lookups!O69/Lookups!L69,"")</f>
        <v>-1.471058703089656E-2</v>
      </c>
      <c r="O69" s="96">
        <f>IFERROR(Lookups!I69/Lookups!Q69,"")</f>
        <v>2.7504714598514108</v>
      </c>
      <c r="P69" s="96">
        <f>IFERROR(Lookups!S69/Lookups!T69,"")</f>
        <v>1.0788054023772713</v>
      </c>
      <c r="Q69" s="95">
        <f>IFERROR((Lookups!L69-Lookups!AA69)/Lookups!AA69,"")</f>
        <v>-2.2471623191736572E-3</v>
      </c>
    </row>
    <row r="70" spans="1:17" ht="15" customHeight="1" x14ac:dyDescent="0.3">
      <c r="A70" s="77" t="s">
        <v>49</v>
      </c>
      <c r="B70" s="77" t="s">
        <v>50</v>
      </c>
      <c r="C70" s="78">
        <v>2019</v>
      </c>
      <c r="D70" s="97">
        <f>IFERROR(IF(Lookups!U70=0,1,IF(Lookups!W70=0,1,(Lookups!H70/Lookups!F70)/(Lookups!W70/Lookups!U70))),1)</f>
        <v>0.67051239269717011</v>
      </c>
      <c r="E70" s="97">
        <f>IFERROR(IF(Lookups!U70=0,1,IF(Lookups!F70=0,1,((Lookups!U70-Lookups!V70)/Lookups!U70)/((Lookups!F70-Lookups!G70)/Lookups!F70))),1)</f>
        <v>1.0403938164531557</v>
      </c>
      <c r="F70" s="97">
        <f>IFERROR(IF(Lookups!AA70=0,1,IF((1-(Lookups!X70+Lookups!Y70+Lookups!Z70)/Lookups!AA70)=0,1,(1-(Lookups!I70+Lookups!J70+Lookups!K70)/Lookups!L70)/(1-(Lookups!X70+Lookups!Y70+Lookups!Z70)/Lookups!AA70))),1)</f>
        <v>0.89167827451822235</v>
      </c>
      <c r="G70" s="97">
        <f>IFERROR(IF(Lookups!U70=0,1,Lookups!F70/Lookups!U70),1)</f>
        <v>0.91163746507056498</v>
      </c>
      <c r="H70" s="97">
        <f>IFERROR(IF((Lookups!Y70+Lookups!AC70)=0,1,IF((Lookups!J70+Lookups!N70)=0,1,(Lookups!AC70/(Lookups!Y70+Lookups!AC70))/(Lookups!N70/(Lookups!J70+Lookups!N70)))),1)</f>
        <v>0.99172658305198857</v>
      </c>
      <c r="I70" s="97">
        <f>IFERROR(IF(Lookups!U70=0,1,IF(Lookups!AB70=0,1,(Lookups!M70/Lookups!F70)/(Lookups!AB70/Lookups!U70))),1)</f>
        <v>1.0145442334276469</v>
      </c>
      <c r="J70" s="97">
        <f>IFERROR(IF(Lookups!L70=0,1,(Lookups!O70-Lookups!P70)/Lookups!L70),1)</f>
        <v>5.2462830277340361E-2</v>
      </c>
      <c r="K70" s="97">
        <f>IFERROR(IF(Lookups!AA70=0,1,IF((Lookups!AF70+Lookups!AG70)=0,1,((Lookups!Q70+Lookups!R70)/Lookups!L70)/((Lookups!AF70+Lookups!AG70)/Lookups!AA70))),1)</f>
        <v>0.51670542888350279</v>
      </c>
      <c r="L70" s="98">
        <f t="shared" si="4"/>
        <v>-2.4843241653588382</v>
      </c>
      <c r="M70" s="79" t="str">
        <f t="shared" si="5"/>
        <v>Non-Manipulator</v>
      </c>
      <c r="N70" s="99">
        <f>IFERROR(Lookups!O70/Lookups!L70,"")</f>
        <v>6.9940465358538303E-2</v>
      </c>
      <c r="O70" s="100">
        <f>IFERROR(Lookups!I70/Lookups!Q70,"")</f>
        <v>8.5032453012630693</v>
      </c>
      <c r="P70" s="100">
        <f>IFERROR(Lookups!S70/Lookups!T70,"")</f>
        <v>9.9125223183430228E-2</v>
      </c>
      <c r="Q70" s="99">
        <f>IFERROR((Lookups!L70-Lookups!AA70)/Lookups!AA70,"")</f>
        <v>-1.7161594181297882E-2</v>
      </c>
    </row>
    <row r="71" spans="1:17" ht="15" customHeight="1" x14ac:dyDescent="0.3">
      <c r="A71" s="27" t="s">
        <v>49</v>
      </c>
      <c r="B71" s="27" t="s">
        <v>50</v>
      </c>
      <c r="C71" s="28">
        <v>2020</v>
      </c>
      <c r="D71" s="31">
        <f>IFERROR(IF(Lookups!U71=0,1,IF(Lookups!W71=0,1,(Lookups!H71/Lookups!F71)/(Lookups!W71/Lookups!U71))),1)</f>
        <v>0.62195497848363246</v>
      </c>
      <c r="E71" s="31">
        <f>IFERROR(IF(Lookups!U71=0,1,IF(Lookups!F71=0,1,((Lookups!U71-Lookups!V71)/Lookups!U71)/((Lookups!F71-Lookups!G71)/Lookups!F71))),1)</f>
        <v>0.99497100471694833</v>
      </c>
      <c r="F71" s="31">
        <f>IFERROR(IF(Lookups!AA71=0,1,IF((1-(Lookups!X71+Lookups!Y71+Lookups!Z71)/Lookups!AA71)=0,1,(1-(Lookups!I71+Lookups!J71+Lookups!K71)/Lookups!L71)/(1-(Lookups!X71+Lookups!Y71+Lookups!Z71)/Lookups!AA71))),1)</f>
        <v>0.81114018954855516</v>
      </c>
      <c r="G71" s="31">
        <f>IFERROR(IF(Lookups!U71=0,1,Lookups!F71/Lookups!U71),1)</f>
        <v>0.93370844235339301</v>
      </c>
      <c r="H71" s="31">
        <f>IFERROR(IF((Lookups!Y71+Lookups!AC71)=0,1,IF((Lookups!J71+Lookups!N71)=0,1,(Lookups!AC71/(Lookups!Y71+Lookups!AC71))/(Lookups!N71/(Lookups!J71+Lookups!N71)))),1)</f>
        <v>1.0347023634193873</v>
      </c>
      <c r="I71" s="31">
        <f>IFERROR(IF(Lookups!U71=0,1,IF(Lookups!AB71=0,1,(Lookups!M71/Lookups!F71)/(Lookups!AB71/Lookups!U71))),1)</f>
        <v>1.1044230903512648</v>
      </c>
      <c r="J71" s="31">
        <f>IFERROR(IF(Lookups!L71=0,1,(Lookups!O71-Lookups!P71)/Lookups!L71),1)</f>
        <v>3.6319991423782491E-2</v>
      </c>
      <c r="K71" s="31">
        <f>IFERROR(IF(Lookups!AA71=0,1,IF((Lookups!AF71+Lookups!AG71)=0,1,((Lookups!Q71+Lookups!R71)/Lookups!L71)/((Lookups!AF71+Lookups!AG71)/Lookups!AA71))),1)</f>
        <v>0.37406575874670284</v>
      </c>
      <c r="L71" s="32">
        <f t="shared" si="4"/>
        <v>-2.6052364251331475</v>
      </c>
      <c r="M71" s="29" t="str">
        <f t="shared" si="5"/>
        <v>Non-Manipulator</v>
      </c>
      <c r="N71" s="33">
        <f>IFERROR(Lookups!O71/Lookups!L71,"")</f>
        <v>3.5036870077962037E-2</v>
      </c>
      <c r="O71" s="34">
        <f>IFERROR(Lookups!I71/Lookups!Q71,"")</f>
        <v>26.690799292783172</v>
      </c>
      <c r="P71" s="34">
        <f>IFERROR(Lookups!S71/Lookups!T71,"")</f>
        <v>3.4913135883180811E-2</v>
      </c>
      <c r="Q71" s="33">
        <f>IFERROR((Lookups!L71-Lookups!AA71)/Lookups!AA71,"")</f>
        <v>-2.2994759883955572E-2</v>
      </c>
    </row>
    <row r="72" spans="1:17" ht="15" customHeight="1" x14ac:dyDescent="0.3">
      <c r="A72" s="27" t="s">
        <v>49</v>
      </c>
      <c r="B72" s="27" t="s">
        <v>50</v>
      </c>
      <c r="C72" s="28">
        <v>2021</v>
      </c>
      <c r="D72" s="31">
        <f>IFERROR(IF(Lookups!U72=0,1,IF(Lookups!W72=0,1,(Lookups!H72/Lookups!F72)/(Lookups!W72/Lookups!U72))),1)</f>
        <v>0.46184201784403389</v>
      </c>
      <c r="E72" s="31">
        <f>IFERROR(IF(Lookups!U72=0,1,IF(Lookups!F72=0,1,((Lookups!U72-Lookups!V72)/Lookups!U72)/((Lookups!F72-Lookups!G72)/Lookups!F72))),1)</f>
        <v>0.91785627132545333</v>
      </c>
      <c r="F72" s="31">
        <f>IFERROR(IF(Lookups!AA72=0,1,IF((1-(Lookups!X72+Lookups!Y72+Lookups!Z72)/Lookups!AA72)=0,1,(1-(Lookups!I72+Lookups!J72+Lookups!K72)/Lookups!L72)/(1-(Lookups!X72+Lookups!Y72+Lookups!Z72)/Lookups!AA72))),1)</f>
        <v>1.9556545951133089</v>
      </c>
      <c r="G72" s="31">
        <f>IFERROR(IF(Lookups!U72=0,1,Lookups!F72/Lookups!U72),1)</f>
        <v>1.8871508674796096</v>
      </c>
      <c r="H72" s="31">
        <f>IFERROR(IF((Lookups!Y72+Lookups!AC72)=0,1,IF((Lookups!J72+Lookups!N72)=0,1,(Lookups!AC72/(Lookups!Y72+Lookups!AC72))/(Lookups!N72/(Lookups!J72+Lookups!N72)))),1)</f>
        <v>1.4366622034508996</v>
      </c>
      <c r="I72" s="31">
        <f>IFERROR(IF(Lookups!U72=0,1,IF(Lookups!AB72=0,1,(Lookups!M72/Lookups!F72)/(Lookups!AB72/Lookups!U72))),1)</f>
        <v>0.65456604721651346</v>
      </c>
      <c r="J72" s="31">
        <f>IFERROR(IF(Lookups!L72=0,1,(Lookups!O72-Lookups!P72)/Lookups!L72),1)</f>
        <v>-0.49014585556741375</v>
      </c>
      <c r="K72" s="31">
        <f>IFERROR(IF(Lookups!AA72=0,1,IF((Lookups!AF72+Lookups!AG72)=0,1,((Lookups!Q72+Lookups!R72)/Lookups!L72)/((Lookups!AF72+Lookups!AG72)/Lookups!AA72))),1)</f>
        <v>3.9785876713566086</v>
      </c>
      <c r="L72" s="32">
        <f t="shared" si="4"/>
        <v>-4.9988140355639867</v>
      </c>
      <c r="M72" s="29" t="str">
        <f t="shared" si="5"/>
        <v>Non-Manipulator</v>
      </c>
      <c r="N72" s="33">
        <f>IFERROR(Lookups!O72/Lookups!L72,"")</f>
        <v>-0.42078011498605705</v>
      </c>
      <c r="O72" s="34">
        <f>IFERROR(Lookups!I72/Lookups!Q72,"")</f>
        <v>4.7519311846129826</v>
      </c>
      <c r="P72" s="34">
        <f>IFERROR(Lookups!S72/Lookups!T72,"")</f>
        <v>0.15502645800700576</v>
      </c>
      <c r="Q72" s="33">
        <f>IFERROR((Lookups!L72-Lookups!AA72)/Lookups!AA72,"")</f>
        <v>-0.2786291793797433</v>
      </c>
    </row>
    <row r="73" spans="1:17" ht="15" customHeight="1" x14ac:dyDescent="0.3">
      <c r="A73" s="27" t="s">
        <v>49</v>
      </c>
      <c r="B73" s="27" t="s">
        <v>50</v>
      </c>
      <c r="C73" s="28">
        <v>2022</v>
      </c>
      <c r="D73" s="31">
        <f>IFERROR(IF(Lookups!U73=0,1,IF(Lookups!W73=0,1,(Lookups!H73/Lookups!F73)/(Lookups!W73/Lookups!U73))),1)</f>
        <v>0.69978209268808989</v>
      </c>
      <c r="E73" s="31">
        <f>IFERROR(IF(Lookups!U73=0,1,IF(Lookups!F73=0,1,((Lookups!U73-Lookups!V73)/Lookups!U73)/((Lookups!F73-Lookups!G73)/Lookups!F73))),1)</f>
        <v>0.97214316979356474</v>
      </c>
      <c r="F73" s="31">
        <f>IFERROR(IF(Lookups!AA73=0,1,IF((1-(Lookups!X73+Lookups!Y73+Lookups!Z73)/Lookups!AA73)=0,1,(1-(Lookups!I73+Lookups!J73+Lookups!K73)/Lookups!L73)/(1-(Lookups!X73+Lookups!Y73+Lookups!Z73)/Lookups!AA73))),1)</f>
        <v>1.3294418019986738</v>
      </c>
      <c r="G73" s="31">
        <f>IFERROR(IF(Lookups!U73=0,1,Lookups!F73/Lookups!U73),1)</f>
        <v>0.98316794689712206</v>
      </c>
      <c r="H73" s="31">
        <f>IFERROR(IF((Lookups!Y73+Lookups!AC73)=0,1,IF((Lookups!J73+Lookups!N73)=0,1,(Lookups!AC73/(Lookups!Y73+Lookups!AC73))/(Lookups!N73/(Lookups!J73+Lookups!N73)))),1)</f>
        <v>0.98709666818847397</v>
      </c>
      <c r="I73" s="31">
        <f>IFERROR(IF(Lookups!U73=0,1,IF(Lookups!AB73=0,1,(Lookups!M73/Lookups!F73)/(Lookups!AB73/Lookups!U73))),1)</f>
        <v>1.0703186221521466</v>
      </c>
      <c r="J73" s="31">
        <f>IFERROR(IF(Lookups!L73=0,1,(Lookups!O73-Lookups!P73)/Lookups!L73),1)</f>
        <v>-0.12265732067643176</v>
      </c>
      <c r="K73" s="31">
        <f>IFERROR(IF(Lookups!AA73=0,1,IF((Lookups!AF73+Lookups!AG73)=0,1,((Lookups!Q73+Lookups!R73)/Lookups!L73)/((Lookups!AF73+Lookups!AG73)/Lookups!AA73))),1)</f>
        <v>0.70260429499266197</v>
      </c>
      <c r="L73" s="32">
        <f t="shared" si="4"/>
        <v>-3.1430724785123769</v>
      </c>
      <c r="M73" s="29" t="str">
        <f t="shared" si="5"/>
        <v>Non-Manipulator</v>
      </c>
      <c r="N73" s="33">
        <f>IFERROR(Lookups!O73/Lookups!L73,"")</f>
        <v>-3.7993964921103913E-2</v>
      </c>
      <c r="O73" s="34">
        <f>IFERROR(Lookups!I73/Lookups!Q73,"")</f>
        <v>6.4248486886348353</v>
      </c>
      <c r="P73" s="34">
        <f>IFERROR(Lookups!S73/Lookups!T73,"")</f>
        <v>0.10412180253593324</v>
      </c>
      <c r="Q73" s="33">
        <f>IFERROR((Lookups!L73-Lookups!AA73)/Lookups!AA73,"")</f>
        <v>-8.7283827360255223E-2</v>
      </c>
    </row>
    <row r="74" spans="1:17" ht="15" customHeight="1" thickBot="1" x14ac:dyDescent="0.35">
      <c r="A74" s="81" t="s">
        <v>49</v>
      </c>
      <c r="B74" s="81" t="s">
        <v>50</v>
      </c>
      <c r="C74" s="82">
        <v>2023</v>
      </c>
      <c r="D74" s="101">
        <f>IFERROR(IF(Lookups!U74=0,1,IF(Lookups!W74=0,1,(Lookups!H74/Lookups!F74)/(Lookups!W74/Lookups!U74))),1)</f>
        <v>0</v>
      </c>
      <c r="E74" s="101">
        <f>IFERROR(IF(Lookups!U74=0,1,IF(Lookups!F74=0,1,((Lookups!U74-Lookups!V74)/Lookups!U74)/((Lookups!F74-Lookups!G74)/Lookups!F74))),1)</f>
        <v>1.1938977644875362</v>
      </c>
      <c r="F74" s="101">
        <f>IFERROR(IF(Lookups!AA74=0,1,IF((1-(Lookups!X74+Lookups!Y74+Lookups!Z74)/Lookups!AA74)=0,1,(1-(Lookups!I74+Lookups!J74+Lookups!K74)/Lookups!L74)/(1-(Lookups!X74+Lookups!Y74+Lookups!Z74)/Lookups!AA74))),1)</f>
        <v>1.0277499706662958</v>
      </c>
      <c r="G74" s="101">
        <f>IFERROR(IF(Lookups!U74=0,1,Lookups!F74/Lookups!U74),1)</f>
        <v>4.902302390553219E-2</v>
      </c>
      <c r="H74" s="101">
        <f>IFERROR(IF((Lookups!Y74+Lookups!AC74)=0,1,IF((Lookups!J74+Lookups!N74)=0,1,(Lookups!AC74/(Lookups!Y74+Lookups!AC74))/(Lookups!N74/(Lookups!J74+Lookups!N74)))),1)</f>
        <v>0.97623220470111494</v>
      </c>
      <c r="I74" s="101">
        <f>IFERROR(IF(Lookups!U74=0,1,IF(Lookups!AB74=0,1,(Lookups!M74/Lookups!F74)/(Lookups!AB74/Lookups!U74))),1)</f>
        <v>5.1958842734435384</v>
      </c>
      <c r="J74" s="101">
        <f>IFERROR(IF(Lookups!L74=0,1,(Lookups!O74-Lookups!P74)/Lookups!L74),1)</f>
        <v>-6.7699442481296175E-3</v>
      </c>
      <c r="K74" s="101">
        <f>IFERROR(IF(Lookups!AA74=0,1,IF((Lookups!AF74+Lookups!AG74)=0,1,((Lookups!Q74+Lookups!R74)/Lookups!L74)/((Lookups!AF74+Lookups!AG74)/Lookups!AA74))),1)</f>
        <v>0.1861261445689095</v>
      </c>
      <c r="L74" s="102">
        <f t="shared" si="4"/>
        <v>-4.6246476647803556</v>
      </c>
      <c r="M74" s="83" t="str">
        <f t="shared" si="5"/>
        <v>Non-Manipulator</v>
      </c>
      <c r="N74" s="103">
        <f>IFERROR(Lookups!O74/Lookups!L74,"")</f>
        <v>-1.6262839654016058E-2</v>
      </c>
      <c r="O74" s="104">
        <f>IFERROR(Lookups!I74/Lookups!Q74,"")</f>
        <v>80.749357396773306</v>
      </c>
      <c r="P74" s="104">
        <f>IFERROR(Lookups!S74/Lookups!T74,"")</f>
        <v>1.7865805363622412E-2</v>
      </c>
      <c r="Q74" s="103">
        <f>IFERROR((Lookups!L74-Lookups!AA74)/Lookups!AA74,"")</f>
        <v>-9.3133526120575849E-2</v>
      </c>
    </row>
    <row r="75" spans="1:17" ht="15" customHeight="1" x14ac:dyDescent="0.3">
      <c r="A75" s="85" t="s">
        <v>51</v>
      </c>
      <c r="B75" s="85" t="s">
        <v>52</v>
      </c>
      <c r="C75" s="86">
        <v>2019</v>
      </c>
      <c r="D75" s="105">
        <f>IFERROR(IF(Lookups!U75=0,1,IF(Lookups!W75=0,1,(Lookups!H75/Lookups!F75)/(Lookups!W75/Lookups!U75))),1)</f>
        <v>1.026875591701276</v>
      </c>
      <c r="E75" s="105">
        <f>IFERROR(IF(Lookups!U75=0,1,IF(Lookups!F75=0,1,((Lookups!U75-Lookups!V75)/Lookups!U75)/((Lookups!F75-Lookups!G75)/Lookups!F75))),1)</f>
        <v>0.94440030377156381</v>
      </c>
      <c r="F75" s="105">
        <f>IFERROR(IF(Lookups!AA75=0,1,IF((1-(Lookups!X75+Lookups!Y75+Lookups!Z75)/Lookups!AA75)=0,1,(1-(Lookups!I75+Lookups!J75+Lookups!K75)/Lookups!L75)/(1-(Lookups!X75+Lookups!Y75+Lookups!Z75)/Lookups!AA75))),1)</f>
        <v>1</v>
      </c>
      <c r="G75" s="105">
        <f>IFERROR(IF(Lookups!U75=0,1,Lookups!F75/Lookups!U75),1)</f>
        <v>1.1424622806833915</v>
      </c>
      <c r="H75" s="105">
        <f>IFERROR(IF((Lookups!Y75+Lookups!AC75)=0,1,IF((Lookups!J75+Lookups!N75)=0,1,(Lookups!AC75/(Lookups!Y75+Lookups!AC75))/(Lookups!N75/(Lookups!J75+Lookups!N75)))),1)</f>
        <v>1.6155272917114081</v>
      </c>
      <c r="I75" s="105">
        <f>IFERROR(IF(Lookups!U75=0,1,IF(Lookups!AB75=0,1,(Lookups!M75/Lookups!F75)/(Lookups!AB75/Lookups!U75))),1)</f>
        <v>1.0339663702456248</v>
      </c>
      <c r="J75" s="105">
        <f>IFERROR(IF(Lookups!L75=0,1,(Lookups!O75-Lookups!P75)/Lookups!L75),1)</f>
        <v>4.500591036526904E-2</v>
      </c>
      <c r="K75" s="105">
        <f>IFERROR(IF(Lookups!AA75=0,1,IF((Lookups!AF75+Lookups!AG75)=0,1,((Lookups!Q75+Lookups!R75)/Lookups!L75)/((Lookups!AF75+Lookups!AG75)/Lookups!AA75))),1)</f>
        <v>0.91798172660647537</v>
      </c>
      <c r="L75" s="106">
        <f t="shared" si="4"/>
        <v>-2.0552086880105143</v>
      </c>
      <c r="M75" s="87" t="str">
        <f t="shared" si="5"/>
        <v>Likely Manipulator</v>
      </c>
      <c r="N75" s="107">
        <f>IFERROR(Lookups!O75/Lookups!L75,"")</f>
        <v>6.139139627514071E-2</v>
      </c>
      <c r="O75" s="108">
        <f>IFERROR(Lookups!I75/Lookups!Q75,"")</f>
        <v>2.5234613910237775</v>
      </c>
      <c r="P75" s="108">
        <f>IFERROR(Lookups!S75/Lookups!T75,"")</f>
        <v>0.72181387250828111</v>
      </c>
      <c r="Q75" s="107">
        <f>IFERROR((Lookups!L75-Lookups!AA75)/Lookups!AA75,"")</f>
        <v>0.14763023993187935</v>
      </c>
    </row>
    <row r="76" spans="1:17" ht="15" customHeight="1" x14ac:dyDescent="0.3">
      <c r="A76" s="27" t="s">
        <v>51</v>
      </c>
      <c r="B76" s="27" t="s">
        <v>52</v>
      </c>
      <c r="C76" s="28">
        <v>2020</v>
      </c>
      <c r="D76" s="31">
        <f>IFERROR(IF(Lookups!U76=0,1,IF(Lookups!W76=0,1,(Lookups!H76/Lookups!F76)/(Lookups!W76/Lookups!U76))),1)</f>
        <v>1.1618775137643644</v>
      </c>
      <c r="E76" s="31">
        <f>IFERROR(IF(Lookups!U76=0,1,IF(Lookups!F76=0,1,((Lookups!U76-Lookups!V76)/Lookups!U76)/((Lookups!F76-Lookups!G76)/Lookups!F76))),1)</f>
        <v>0.99101978399650492</v>
      </c>
      <c r="F76" s="31">
        <f>IFERROR(IF(Lookups!AA76=0,1,IF((1-(Lookups!X76+Lookups!Y76+Lookups!Z76)/Lookups!AA76)=0,1,(1-(Lookups!I76+Lookups!J76+Lookups!K76)/Lookups!L76)/(1-(Lookups!X76+Lookups!Y76+Lookups!Z76)/Lookups!AA76))),1)</f>
        <v>0.73686843257446066</v>
      </c>
      <c r="G76" s="31">
        <f>IFERROR(IF(Lookups!U76=0,1,Lookups!F76/Lookups!U76),1)</f>
        <v>0.89531365738835578</v>
      </c>
      <c r="H76" s="31">
        <f>IFERROR(IF((Lookups!Y76+Lookups!AC76)=0,1,IF((Lookups!J76+Lookups!N76)=0,1,(Lookups!AC76/(Lookups!Y76+Lookups!AC76))/(Lookups!N76/(Lookups!J76+Lookups!N76)))),1)</f>
        <v>0.90196474103795155</v>
      </c>
      <c r="I76" s="31">
        <f>IFERROR(IF(Lookups!U76=0,1,IF(Lookups!AB76=0,1,(Lookups!M76/Lookups!F76)/(Lookups!AB76/Lookups!U76))),1)</f>
        <v>1.0082857849124414</v>
      </c>
      <c r="J76" s="31">
        <f>IFERROR(IF(Lookups!L76=0,1,(Lookups!O76-Lookups!P76)/Lookups!L76),1)</f>
        <v>4.088131905504238E-2</v>
      </c>
      <c r="K76" s="31">
        <f>IFERROR(IF(Lookups!AA76=0,1,IF((Lookups!AF76+Lookups!AG76)=0,1,((Lookups!Q76+Lookups!R76)/Lookups!L76)/((Lookups!AF76+Lookups!AG76)/Lookups!AA76))),1)</f>
        <v>1.2957598790626055</v>
      </c>
      <c r="L76" s="32">
        <f t="shared" si="4"/>
        <v>-2.4536286106166387</v>
      </c>
      <c r="M76" s="29" t="str">
        <f t="shared" si="5"/>
        <v>Non-Manipulator</v>
      </c>
      <c r="N76" s="33">
        <f>IFERROR(Lookups!O76/Lookups!L76,"")</f>
        <v>3.8864145975356118E-2</v>
      </c>
      <c r="O76" s="34">
        <f>IFERROR(Lookups!I76/Lookups!Q76,"")</f>
        <v>2.1593731438224109</v>
      </c>
      <c r="P76" s="34">
        <f>IFERROR(Lookups!S76/Lookups!T76,"")</f>
        <v>1.080899297031219</v>
      </c>
      <c r="Q76" s="33">
        <f>IFERROR((Lookups!L76-Lookups!AA76)/Lookups!AA76,"")</f>
        <v>0.22517917343366131</v>
      </c>
    </row>
    <row r="77" spans="1:17" ht="15" customHeight="1" x14ac:dyDescent="0.3">
      <c r="A77" s="27" t="s">
        <v>51</v>
      </c>
      <c r="B77" s="27" t="s">
        <v>52</v>
      </c>
      <c r="C77" s="28">
        <v>2021</v>
      </c>
      <c r="D77" s="31">
        <f>IFERROR(IF(Lookups!U77=0,1,IF(Lookups!W77=0,1,(Lookups!H77/Lookups!F77)/(Lookups!W77/Lookups!U77))),1)</f>
        <v>1.0170953412502468</v>
      </c>
      <c r="E77" s="31">
        <f>IFERROR(IF(Lookups!U77=0,1,IF(Lookups!F77=0,1,((Lookups!U77-Lookups!V77)/Lookups!U77)/((Lookups!F77-Lookups!G77)/Lookups!F77))),1)</f>
        <v>0.98457481425785676</v>
      </c>
      <c r="F77" s="31">
        <f>IFERROR(IF(Lookups!AA77=0,1,IF((1-(Lookups!X77+Lookups!Y77+Lookups!Z77)/Lookups!AA77)=0,1,(1-(Lookups!I77+Lookups!J77+Lookups!K77)/Lookups!L77)/(1-(Lookups!X77+Lookups!Y77+Lookups!Z77)/Lookups!AA77))),1)</f>
        <v>0.69764866256476565</v>
      </c>
      <c r="G77" s="31">
        <f>IFERROR(IF(Lookups!U77=0,1,Lookups!F77/Lookups!U77),1)</f>
        <v>1.0968647405036882</v>
      </c>
      <c r="H77" s="31">
        <f>IFERROR(IF((Lookups!Y77+Lookups!AC77)=0,1,IF((Lookups!J77+Lookups!N77)=0,1,(Lookups!AC77/(Lookups!Y77+Lookups!AC77))/(Lookups!N77/(Lookups!J77+Lookups!N77)))),1)</f>
        <v>1.9853792059157249</v>
      </c>
      <c r="I77" s="31">
        <f>IFERROR(IF(Lookups!U77=0,1,IF(Lookups!AB77=0,1,(Lookups!M77/Lookups!F77)/(Lookups!AB77/Lookups!U77))),1)</f>
        <v>1.0342589321299451</v>
      </c>
      <c r="J77" s="31">
        <f>IFERROR(IF(Lookups!L77=0,1,(Lookups!O77-Lookups!P77)/Lookups!L77),1)</f>
        <v>-5.6045112236294062E-2</v>
      </c>
      <c r="K77" s="31">
        <f>IFERROR(IF(Lookups!AA77=0,1,IF((Lookups!AF77+Lookups!AG77)=0,1,((Lookups!Q77+Lookups!R77)/Lookups!L77)/((Lookups!AF77+Lookups!AG77)/Lookups!AA77))),1)</f>
        <v>1.1780829358470222</v>
      </c>
      <c r="L77" s="32">
        <f t="shared" si="4"/>
        <v>-2.7212055037378073</v>
      </c>
      <c r="M77" s="29" t="str">
        <f t="shared" si="5"/>
        <v>Non-Manipulator</v>
      </c>
      <c r="N77" s="33">
        <f>IFERROR(Lookups!O77/Lookups!L77,"")</f>
        <v>2.4628140745945753E-2</v>
      </c>
      <c r="O77" s="34">
        <f>IFERROR(Lookups!I77/Lookups!Q77,"")</f>
        <v>1.8625283275861626</v>
      </c>
      <c r="P77" s="34">
        <f>IFERROR(Lookups!S77/Lookups!T77,"")</f>
        <v>1.5451999953193039</v>
      </c>
      <c r="Q77" s="33">
        <f>IFERROR((Lookups!L77-Lookups!AA77)/Lookups!AA77,"")</f>
        <v>0.24683891213232209</v>
      </c>
    </row>
    <row r="78" spans="1:17" ht="15" customHeight="1" x14ac:dyDescent="0.3">
      <c r="A78" s="27" t="s">
        <v>51</v>
      </c>
      <c r="B78" s="27" t="s">
        <v>52</v>
      </c>
      <c r="C78" s="28">
        <v>2022</v>
      </c>
      <c r="D78" s="31">
        <f>IFERROR(IF(Lookups!U78=0,1,IF(Lookups!W78=0,1,(Lookups!H78/Lookups!F78)/(Lookups!W78/Lookups!U78))),1)</f>
        <v>1.0792036703954864</v>
      </c>
      <c r="E78" s="31">
        <f>IFERROR(IF(Lookups!U78=0,1,IF(Lookups!F78=0,1,((Lookups!U78-Lookups!V78)/Lookups!U78)/((Lookups!F78-Lookups!G78)/Lookups!F78))),1)</f>
        <v>0.97522623437103373</v>
      </c>
      <c r="F78" s="31">
        <f>IFERROR(IF(Lookups!AA78=0,1,IF((1-(Lookups!X78+Lookups!Y78+Lookups!Z78)/Lookups!AA78)=0,1,(1-(Lookups!I78+Lookups!J78+Lookups!K78)/Lookups!L78)/(1-(Lookups!X78+Lookups!Y78+Lookups!Z78)/Lookups!AA78))),1)</f>
        <v>1.0059059971512243</v>
      </c>
      <c r="G78" s="31">
        <f>IFERROR(IF(Lookups!U78=0,1,Lookups!F78/Lookups!U78),1)</f>
        <v>0.89786319093526801</v>
      </c>
      <c r="H78" s="31">
        <f>IFERROR(IF((Lookups!Y78+Lookups!AC78)=0,1,IF((Lookups!J78+Lookups!N78)=0,1,(Lookups!AC78/(Lookups!Y78+Lookups!AC78))/(Lookups!N78/(Lookups!J78+Lookups!N78)))),1)</f>
        <v>1.0417824412056531</v>
      </c>
      <c r="I78" s="31">
        <f>IFERROR(IF(Lookups!U78=0,1,IF(Lookups!AB78=0,1,(Lookups!M78/Lookups!F78)/(Lookups!AB78/Lookups!U78))),1)</f>
        <v>1.4321470957193891</v>
      </c>
      <c r="J78" s="31">
        <f>IFERROR(IF(Lookups!L78=0,1,(Lookups!O78-Lookups!P78)/Lookups!L78),1)</f>
        <v>-0.13440481475254204</v>
      </c>
      <c r="K78" s="31">
        <f>IFERROR(IF(Lookups!AA78=0,1,IF((Lookups!AF78+Lookups!AG78)=0,1,((Lookups!Q78+Lookups!R78)/Lookups!L78)/((Lookups!AF78+Lookups!AG78)/Lookups!AA78))),1)</f>
        <v>1.1351737467504939</v>
      </c>
      <c r="L78" s="32">
        <f t="shared" si="4"/>
        <v>-3.251539445464533</v>
      </c>
      <c r="M78" s="29" t="str">
        <f t="shared" si="5"/>
        <v>Non-Manipulator</v>
      </c>
      <c r="N78" s="33">
        <f>IFERROR(Lookups!O78/Lookups!L78,"")</f>
        <v>-7.4951348919449629E-2</v>
      </c>
      <c r="O78" s="34">
        <f>IFERROR(Lookups!I78/Lookups!Q78,"")</f>
        <v>1.1473779742217176</v>
      </c>
      <c r="P78" s="34">
        <f>IFERROR(Lookups!S78/Lookups!T78,"")</f>
        <v>2.1680067686483935</v>
      </c>
      <c r="Q78" s="33">
        <f>IFERROR((Lookups!L78-Lookups!AA78)/Lookups!AA78,"")</f>
        <v>5.8607657101561244E-3</v>
      </c>
    </row>
    <row r="79" spans="1:17" ht="15" customHeight="1" thickBot="1" x14ac:dyDescent="0.35">
      <c r="A79" s="70" t="s">
        <v>51</v>
      </c>
      <c r="B79" s="70" t="s">
        <v>52</v>
      </c>
      <c r="C79" s="71">
        <v>2023</v>
      </c>
      <c r="D79" s="93">
        <f>IFERROR(IF(Lookups!U79=0,1,IF(Lookups!W79=0,1,(Lookups!H79/Lookups!F79)/(Lookups!W79/Lookups!U79))),1)</f>
        <v>0.65168187434985347</v>
      </c>
      <c r="E79" s="93">
        <f>IFERROR(IF(Lookups!U79=0,1,IF(Lookups!F79=0,1,((Lookups!U79-Lookups!V79)/Lookups!U79)/((Lookups!F79-Lookups!G79)/Lookups!F79))),1)</f>
        <v>1.0826869391576373</v>
      </c>
      <c r="F79" s="93">
        <f>IFERROR(IF(Lookups!AA79=0,1,IF((1-(Lookups!X79+Lookups!Y79+Lookups!Z79)/Lookups!AA79)=0,1,(1-(Lookups!I79+Lookups!J79+Lookups!K79)/Lookups!L79)/(1-(Lookups!X79+Lookups!Y79+Lookups!Z79)/Lookups!AA79))),1)</f>
        <v>1.2538253490363274</v>
      </c>
      <c r="G79" s="93">
        <f>IFERROR(IF(Lookups!U79=0,1,Lookups!F79/Lookups!U79),1)</f>
        <v>1.5434194349798982</v>
      </c>
      <c r="H79" s="93">
        <f>IFERROR(IF((Lookups!Y79+Lookups!AC79)=0,1,IF((Lookups!J79+Lookups!N79)=0,1,(Lookups!AC79/(Lookups!Y79+Lookups!AC79))/(Lookups!N79/(Lookups!J79+Lookups!N79)))),1)</f>
        <v>0.73927015627782033</v>
      </c>
      <c r="I79" s="93">
        <f>IFERROR(IF(Lookups!U79=0,1,IF(Lookups!AB79=0,1,(Lookups!M79/Lookups!F79)/(Lookups!AB79/Lookups!U79))),1)</f>
        <v>0.70461868790418536</v>
      </c>
      <c r="J79" s="93">
        <f>IFERROR(IF(Lookups!L79=0,1,(Lookups!O79-Lookups!P79)/Lookups!L79),1)</f>
        <v>-3.6242453929374717E-2</v>
      </c>
      <c r="K79" s="93">
        <f>IFERROR(IF(Lookups!AA79=0,1,IF((Lookups!AF79+Lookups!AG79)=0,1,((Lookups!Q79+Lookups!R79)/Lookups!L79)/((Lookups!AF79+Lookups!AG79)/Lookups!AA79))),1)</f>
        <v>0.91153340706280594</v>
      </c>
      <c r="L79" s="94">
        <f t="shared" si="4"/>
        <v>-2.2893466071028095</v>
      </c>
      <c r="M79" s="72" t="str">
        <f t="shared" si="5"/>
        <v>Non-Manipulator</v>
      </c>
      <c r="N79" s="95">
        <f>IFERROR(Lookups!O79/Lookups!L79,"")</f>
        <v>5.4704450886050374E-2</v>
      </c>
      <c r="O79" s="96">
        <f>IFERROR(Lookups!I79/Lookups!Q79,"")</f>
        <v>1.1100093392713604</v>
      </c>
      <c r="P79" s="96">
        <f>IFERROR(Lookups!S79/Lookups!T79,"")</f>
        <v>1.6840395857018136</v>
      </c>
      <c r="Q79" s="95">
        <f>IFERROR((Lookups!L79-Lookups!AA79)/Lookups!AA79,"")</f>
        <v>-6.9601289251498702E-3</v>
      </c>
    </row>
    <row r="80" spans="1:17" ht="15" customHeight="1" x14ac:dyDescent="0.3">
      <c r="A80" s="77" t="s">
        <v>54</v>
      </c>
      <c r="B80" s="77" t="s">
        <v>55</v>
      </c>
      <c r="C80" s="78">
        <v>2019</v>
      </c>
      <c r="D80" s="97">
        <f>IFERROR(IF(Lookups!U80=0,1,IF(Lookups!W80=0,1,(Lookups!H80/Lookups!F80)/(Lookups!W80/Lookups!U80))),1)</f>
        <v>1.2276052939022972</v>
      </c>
      <c r="E80" s="97">
        <f>IFERROR(IF(Lookups!U80=0,1,IF(Lookups!F80=0,1,((Lookups!U80-Lookups!V80)/Lookups!U80)/((Lookups!F80-Lookups!G80)/Lookups!F80))),1)</f>
        <v>0.82879207989680082</v>
      </c>
      <c r="F80" s="97">
        <f>IFERROR(IF(Lookups!AA80=0,1,IF((1-(Lookups!X80+Lookups!Y80+Lookups!Z80)/Lookups!AA80)=0,1,(1-(Lookups!I80+Lookups!J80+Lookups!K80)/Lookups!L80)/(1-(Lookups!X80+Lookups!Y80+Lookups!Z80)/Lookups!AA80))),1)</f>
        <v>0</v>
      </c>
      <c r="G80" s="97">
        <f>IFERROR(IF(Lookups!U80=0,1,Lookups!F80/Lookups!U80),1)</f>
        <v>0.77977605701008867</v>
      </c>
      <c r="H80" s="97">
        <f>IFERROR(IF((Lookups!Y80+Lookups!AC80)=0,1,IF((Lookups!J80+Lookups!N80)=0,1,(Lookups!AC80/(Lookups!Y80+Lookups!AC80))/(Lookups!N80/(Lookups!J80+Lookups!N80)))),1)</f>
        <v>1.0137200028662146</v>
      </c>
      <c r="I80" s="97">
        <f>IFERROR(IF(Lookups!U80=0,1,IF(Lookups!AB80=0,1,(Lookups!M80/Lookups!F80)/(Lookups!AB80/Lookups!U80))),1)</f>
        <v>1.1967706449265336</v>
      </c>
      <c r="J80" s="97">
        <f>IFERROR(IF(Lookups!L80=0,1,(Lookups!O80-Lookups!P80)/Lookups!L80),1)</f>
        <v>-0.17302733805039999</v>
      </c>
      <c r="K80" s="97">
        <f>IFERROR(IF(Lookups!AA80=0,1,IF((Lookups!AF80+Lookups!AG80)=0,1,((Lookups!Q80+Lookups!R80)/Lookups!L80)/((Lookups!AF80+Lookups!AG80)/Lookups!AA80))),1)</f>
        <v>1.1575905554082779</v>
      </c>
      <c r="L80" s="98">
        <f t="shared" si="4"/>
        <v>-3.8548344455254537</v>
      </c>
      <c r="M80" s="79" t="str">
        <f t="shared" si="5"/>
        <v>Non-Manipulator</v>
      </c>
      <c r="N80" s="99">
        <f>IFERROR(Lookups!O80/Lookups!L80,"")</f>
        <v>-9.1702910183331668E-2</v>
      </c>
      <c r="O80" s="100">
        <f>IFERROR(Lookups!I80/Lookups!Q80,"")</f>
        <v>0.25608568807188092</v>
      </c>
      <c r="P80" s="100">
        <f>IFERROR(Lookups!S80/Lookups!T80,"")</f>
        <v>2.1716220527354473</v>
      </c>
      <c r="Q80" s="99">
        <f>IFERROR((Lookups!L80-Lookups!AA80)/Lookups!AA80,"")</f>
        <v>3.7111157260700713E-3</v>
      </c>
    </row>
    <row r="81" spans="1:17" ht="15" customHeight="1" x14ac:dyDescent="0.3">
      <c r="A81" s="27" t="s">
        <v>54</v>
      </c>
      <c r="B81" s="27" t="s">
        <v>55</v>
      </c>
      <c r="C81" s="28">
        <v>2020</v>
      </c>
      <c r="D81" s="31">
        <f>IFERROR(IF(Lookups!U81=0,1,IF(Lookups!W81=0,1,(Lookups!H81/Lookups!F81)/(Lookups!W81/Lookups!U81))),1)</f>
        <v>1</v>
      </c>
      <c r="E81" s="31">
        <f>IFERROR(IF(Lookups!U81=0,1,IF(Lookups!F81=0,1,((Lookups!U81-Lookups!V81)/Lookups!U81)/((Lookups!F81-Lookups!G81)/Lookups!F81))),1)</f>
        <v>1</v>
      </c>
      <c r="F81" s="31">
        <f>IFERROR(IF(Lookups!AA81=0,1,IF((1-(Lookups!X81+Lookups!Y81+Lookups!Z81)/Lookups!AA81)=0,1,(1-(Lookups!I81+Lookups!J81+Lookups!K81)/Lookups!L81)/(1-(Lookups!X81+Lookups!Y81+Lookups!Z81)/Lookups!AA81))),1)</f>
        <v>1</v>
      </c>
      <c r="G81" s="31">
        <f>IFERROR(IF(Lookups!U81=0,1,Lookups!F81/Lookups!U81),1)</f>
        <v>0</v>
      </c>
      <c r="H81" s="31">
        <f>IFERROR(IF((Lookups!Y81+Lookups!AC81)=0,1,IF((Lookups!J81+Lookups!N81)=0,1,(Lookups!AC81/(Lookups!Y81+Lookups!AC81))/(Lookups!N81/(Lookups!J81+Lookups!N81)))),1)</f>
        <v>1</v>
      </c>
      <c r="I81" s="31">
        <f>IFERROR(IF(Lookups!U81=0,1,IF(Lookups!AB81=0,1,(Lookups!M81/Lookups!F81)/(Lookups!AB81/Lookups!U81))),1)</f>
        <v>1</v>
      </c>
      <c r="J81" s="31">
        <f>IFERROR(IF(Lookups!L81=0,1,(Lookups!O81-Lookups!P81)/Lookups!L81),1)</f>
        <v>-8.1131898371700449E-3</v>
      </c>
      <c r="K81" s="31">
        <f>IFERROR(IF(Lookups!AA81=0,1,IF((Lookups!AF81+Lookups!AG81)=0,1,((Lookups!Q81+Lookups!R81)/Lookups!L81)/((Lookups!AF81+Lookups!AG81)/Lookups!AA81))),1)</f>
        <v>4.6826675766698647E-2</v>
      </c>
      <c r="L81" s="32">
        <f t="shared" si="4"/>
        <v>-3.0982739382238291</v>
      </c>
      <c r="M81" s="29" t="str">
        <f t="shared" si="5"/>
        <v>Non-Manipulator</v>
      </c>
      <c r="N81" s="33">
        <f>IFERROR(Lookups!O81/Lookups!L81,"")</f>
        <v>-8.1131898371700449E-3</v>
      </c>
      <c r="O81" s="34">
        <f>IFERROR(Lookups!I81/Lookups!Q81,"")</f>
        <v>31.907278782112275</v>
      </c>
      <c r="P81" s="34">
        <f>IFERROR(Lookups!S81/Lookups!T81,"")</f>
        <v>3.2329956273042013E-2</v>
      </c>
      <c r="Q81" s="33">
        <f>IFERROR((Lookups!L81-Lookups!AA81)/Lookups!AA81,"")</f>
        <v>-0.84299267644115861</v>
      </c>
    </row>
    <row r="82" spans="1:17" ht="15" customHeight="1" x14ac:dyDescent="0.3">
      <c r="A82" s="27" t="s">
        <v>54</v>
      </c>
      <c r="B82" s="27" t="s">
        <v>55</v>
      </c>
      <c r="C82" s="28">
        <v>2021</v>
      </c>
      <c r="D82" s="31">
        <f>IFERROR(IF(Lookups!U82=0,1,IF(Lookups!W82=0,1,(Lookups!H82/Lookups!F82)/(Lookups!W82/Lookups!U82))),1)</f>
        <v>1</v>
      </c>
      <c r="E82" s="31">
        <f>IFERROR(IF(Lookups!U82=0,1,IF(Lookups!F82=0,1,((Lookups!U82-Lookups!V82)/Lookups!U82)/((Lookups!F82-Lookups!G82)/Lookups!F82))),1)</f>
        <v>1</v>
      </c>
      <c r="F82" s="31">
        <f>IFERROR(IF(Lookups!AA82=0,1,IF((1-(Lookups!X82+Lookups!Y82+Lookups!Z82)/Lookups!AA82)=0,1,(1-(Lookups!I82+Lookups!J82+Lookups!K82)/Lookups!L82)/(1-(Lookups!X82+Lookups!Y82+Lookups!Z82)/Lookups!AA82))),1)</f>
        <v>1.0059952847086697</v>
      </c>
      <c r="G82" s="31">
        <f>IFERROR(IF(Lookups!U82=0,1,Lookups!F82/Lookups!U82),1)</f>
        <v>1</v>
      </c>
      <c r="H82" s="31">
        <f>IFERROR(IF((Lookups!Y82+Lookups!AC82)=0,1,IF((Lookups!J82+Lookups!N82)=0,1,(Lookups!AC82/(Lookups!Y82+Lookups!AC82))/(Lookups!N82/(Lookups!J82+Lookups!N82)))),1)</f>
        <v>1</v>
      </c>
      <c r="I82" s="31">
        <f>IFERROR(IF(Lookups!U82=0,1,IF(Lookups!AB82=0,1,(Lookups!M82/Lookups!F82)/(Lookups!AB82/Lookups!U82))),1)</f>
        <v>1</v>
      </c>
      <c r="J82" s="31">
        <f>IFERROR(IF(Lookups!L82=0,1,(Lookups!O82-Lookups!P82)/Lookups!L82),1)</f>
        <v>-8.5320395508932233E-3</v>
      </c>
      <c r="K82" s="31">
        <f>IFERROR(IF(Lookups!AA82=0,1,IF((Lookups!AF82+Lookups!AG82)=0,1,((Lookups!Q82+Lookups!R82)/Lookups!L82)/((Lookups!AF82+Lookups!AG82)/Lookups!AA82))),1)</f>
        <v>1.0851145699952527</v>
      </c>
      <c r="L82" s="32">
        <f t="shared" si="4"/>
        <v>-2.5453317824247748</v>
      </c>
      <c r="M82" s="29" t="str">
        <f t="shared" si="5"/>
        <v>Non-Manipulator</v>
      </c>
      <c r="N82" s="33">
        <f>IFERROR(Lookups!O82/Lookups!L82,"")</f>
        <v>-8.5320395508932233E-3</v>
      </c>
      <c r="O82" s="34">
        <f>IFERROR(Lookups!I82/Lookups!Q82,"")</f>
        <v>29.353483764446892</v>
      </c>
      <c r="P82" s="34">
        <f>IFERROR(Lookups!S82/Lookups!T82,"")</f>
        <v>3.5241672142670391E-2</v>
      </c>
      <c r="Q82" s="33">
        <f>IFERROR((Lookups!L82-Lookups!AA82)/Lookups!AA82,"")</f>
        <v>-5.959555476756989E-3</v>
      </c>
    </row>
    <row r="83" spans="1:17" ht="15" customHeight="1" x14ac:dyDescent="0.3">
      <c r="A83" s="27" t="s">
        <v>54</v>
      </c>
      <c r="B83" s="27" t="s">
        <v>55</v>
      </c>
      <c r="C83" s="28">
        <v>2022</v>
      </c>
      <c r="D83" s="31">
        <f>IFERROR(IF(Lookups!U83=0,1,IF(Lookups!W83=0,1,(Lookups!H83/Lookups!F83)/(Lookups!W83/Lookups!U83))),1)</f>
        <v>1</v>
      </c>
      <c r="E83" s="31">
        <f>IFERROR(IF(Lookups!U83=0,1,IF(Lookups!F83=0,1,((Lookups!U83-Lookups!V83)/Lookups!U83)/((Lookups!F83-Lookups!G83)/Lookups!F83))),1)</f>
        <v>1</v>
      </c>
      <c r="F83" s="31">
        <f>IFERROR(IF(Lookups!AA83=0,1,IF((1-(Lookups!X83+Lookups!Y83+Lookups!Z83)/Lookups!AA83)=0,1,(1-(Lookups!I83+Lookups!J83+Lookups!K83)/Lookups!L83)/(1-(Lookups!X83+Lookups!Y83+Lookups!Z83)/Lookups!AA83))),1)</f>
        <v>0</v>
      </c>
      <c r="G83" s="31">
        <f>IFERROR(IF(Lookups!U83=0,1,Lookups!F83/Lookups!U83),1)</f>
        <v>1</v>
      </c>
      <c r="H83" s="31">
        <f>IFERROR(IF((Lookups!Y83+Lookups!AC83)=0,1,IF((Lookups!J83+Lookups!N83)=0,1,(Lookups!AC83/(Lookups!Y83+Lookups!AC83))/(Lookups!N83/(Lookups!J83+Lookups!N83)))),1)</f>
        <v>1</v>
      </c>
      <c r="I83" s="31">
        <f>IFERROR(IF(Lookups!U83=0,1,IF(Lookups!AB83=0,1,(Lookups!M83/Lookups!F83)/(Lookups!AB83/Lookups!U83))),1)</f>
        <v>1</v>
      </c>
      <c r="J83" s="31">
        <f>IFERROR(IF(Lookups!L83=0,1,(Lookups!O83-Lookups!P83)/Lookups!L83),1)</f>
        <v>-2.3346324081377347E-2</v>
      </c>
      <c r="K83" s="31">
        <f>IFERROR(IF(Lookups!AA83=0,1,IF((Lookups!AF83+Lookups!AG83)=0,1,((Lookups!Q83+Lookups!R83)/Lookups!L83)/((Lookups!AF83+Lookups!AG83)/Lookups!AA83))),1)</f>
        <v>23.586569009721007</v>
      </c>
      <c r="L83" s="32">
        <f t="shared" si="4"/>
        <v>-10.379045516555534</v>
      </c>
      <c r="M83" s="29" t="str">
        <f t="shared" si="5"/>
        <v>Non-Manipulator</v>
      </c>
      <c r="N83" s="33">
        <f>IFERROR(Lookups!O83/Lookups!L83,"")</f>
        <v>-2.2458139127350351E-2</v>
      </c>
      <c r="O83" s="34">
        <f>IFERROR(Lookups!I83/Lookups!Q83,"")</f>
        <v>0.24863631730555835</v>
      </c>
      <c r="P83" s="34">
        <f>IFERROR(Lookups!S83/Lookups!T83,"")</f>
        <v>4.5744293464018027</v>
      </c>
      <c r="Q83" s="33">
        <f>IFERROR((Lookups!L83-Lookups!AA83)/Lookups!AA83,"")</f>
        <v>5.3762573236149764</v>
      </c>
    </row>
    <row r="84" spans="1:17" ht="15" customHeight="1" thickBot="1" x14ac:dyDescent="0.35">
      <c r="A84" s="81" t="s">
        <v>54</v>
      </c>
      <c r="B84" s="81" t="s">
        <v>55</v>
      </c>
      <c r="C84" s="82">
        <v>2023</v>
      </c>
      <c r="D84" s="101">
        <f>IFERROR(IF(Lookups!U84=0,1,IF(Lookups!W84=0,1,(Lookups!H84/Lookups!F84)/(Lookups!W84/Lookups!U84))),1)</f>
        <v>1.0574262919739821</v>
      </c>
      <c r="E84" s="101">
        <f>IFERROR(IF(Lookups!U84=0,1,IF(Lookups!F84=0,1,((Lookups!U84-Lookups!V84)/Lookups!U84)/((Lookups!F84-Lookups!G84)/Lookups!F84))),1)</f>
        <v>0.86691814845312143</v>
      </c>
      <c r="F84" s="101">
        <f>IFERROR(IF(Lookups!AA84=0,1,IF((1-(Lookups!X84+Lookups!Y84+Lookups!Z84)/Lookups!AA84)=0,1,(1-(Lookups!I84+Lookups!J84+Lookups!K84)/Lookups!L84)/(1-(Lookups!X84+Lookups!Y84+Lookups!Z84)/Lookups!AA84))),1)</f>
        <v>1</v>
      </c>
      <c r="G84" s="101">
        <f>IFERROR(IF(Lookups!U84=0,1,Lookups!F84/Lookups!U84),1)</f>
        <v>1.0008898678843463</v>
      </c>
      <c r="H84" s="101">
        <f>IFERROR(IF((Lookups!Y84+Lookups!AC84)=0,1,IF((Lookups!J84+Lookups!N84)=0,1,(Lookups!AC84/(Lookups!Y84+Lookups!AC84))/(Lookups!N84/(Lookups!J84+Lookups!N84)))),1)</f>
        <v>1.0164871542693412</v>
      </c>
      <c r="I84" s="101">
        <f>IFERROR(IF(Lookups!U84=0,1,IF(Lookups!AB84=0,1,(Lookups!M84/Lookups!F84)/(Lookups!AB84/Lookups!U84))),1)</f>
        <v>0.97474750802471266</v>
      </c>
      <c r="J84" s="101">
        <f>IFERROR(IF(Lookups!L84=0,1,(Lookups!O84-Lookups!P84)/Lookups!L84),1)</f>
        <v>-4.1043293201409703E-2</v>
      </c>
      <c r="K84" s="101">
        <f>IFERROR(IF(Lookups!AA84=0,1,IF((Lookups!AF84+Lookups!AG84)=0,1,((Lookups!Q84+Lookups!R84)/Lookups!L84)/((Lookups!AF84+Lookups!AG84)/Lookups!AA84))),1)</f>
        <v>1.0433909802528305</v>
      </c>
      <c r="L84" s="102">
        <f t="shared" si="4"/>
        <v>-2.6966322349191993</v>
      </c>
      <c r="M84" s="83" t="str">
        <f t="shared" si="5"/>
        <v>Non-Manipulator</v>
      </c>
      <c r="N84" s="103">
        <f>IFERROR(Lookups!O84/Lookups!L84,"")</f>
        <v>-3.5205329043505221E-2</v>
      </c>
      <c r="O84" s="104">
        <f>IFERROR(Lookups!I84/Lookups!Q84,"")</f>
        <v>0.24520713879126987</v>
      </c>
      <c r="P84" s="104">
        <f>IFERROR(Lookups!S84/Lookups!T84,"")</f>
        <v>5.9549003839792256</v>
      </c>
      <c r="Q84" s="103">
        <f>IFERROR((Lookups!L84-Lookups!AA84)/Lookups!AA84,"")</f>
        <v>2.2443800293899074E-3</v>
      </c>
    </row>
    <row r="85" spans="1:17" ht="15" customHeight="1" x14ac:dyDescent="0.3">
      <c r="A85" s="85" t="s">
        <v>56</v>
      </c>
      <c r="B85" s="85" t="s">
        <v>57</v>
      </c>
      <c r="C85" s="86">
        <v>2019</v>
      </c>
      <c r="D85" s="105">
        <f>IFERROR(IF(Lookups!U85=0,1,IF(Lookups!W85=0,1,(Lookups!H85/Lookups!F85)/(Lookups!W85/Lookups!U85))),1)</f>
        <v>0.60225001673515643</v>
      </c>
      <c r="E85" s="105">
        <f>IFERROR(IF(Lookups!U85=0,1,IF(Lookups!F85=0,1,((Lookups!U85-Lookups!V85)/Lookups!U85)/((Lookups!F85-Lookups!G85)/Lookups!F85))),1)</f>
        <v>1.016117546517264</v>
      </c>
      <c r="F85" s="105">
        <f>IFERROR(IF(Lookups!AA85=0,1,IF((1-(Lookups!X85+Lookups!Y85+Lookups!Z85)/Lookups!AA85)=0,1,(1-(Lookups!I85+Lookups!J85+Lookups!K85)/Lookups!L85)/(1-(Lookups!X85+Lookups!Y85+Lookups!Z85)/Lookups!AA85))),1)</f>
        <v>0.50777099777645585</v>
      </c>
      <c r="G85" s="105">
        <f>IFERROR(IF(Lookups!U85=0,1,Lookups!F85/Lookups!U85),1)</f>
        <v>1.6313812057774399</v>
      </c>
      <c r="H85" s="105">
        <f>IFERROR(IF((Lookups!Y85+Lookups!AC85)=0,1,IF((Lookups!J85+Lookups!N85)=0,1,(Lookups!AC85/(Lookups!Y85+Lookups!AC85))/(Lookups!N85/(Lookups!J85+Lookups!N85)))),1)</f>
        <v>0.83629044872841085</v>
      </c>
      <c r="I85" s="105">
        <f>IFERROR(IF(Lookups!U85=0,1,IF(Lookups!AB85=0,1,(Lookups!M85/Lookups!F85)/(Lookups!AB85/Lookups!U85))),1)</f>
        <v>0.42679723358120242</v>
      </c>
      <c r="J85" s="105">
        <f>IFERROR(IF(Lookups!L85=0,1,(Lookups!O85-Lookups!P85)/Lookups!L85),1)</f>
        <v>-4.8227912807618289E-2</v>
      </c>
      <c r="K85" s="105">
        <f>IFERROR(IF(Lookups!AA85=0,1,IF((Lookups!AF85+Lookups!AG85)=0,1,((Lookups!Q85+Lookups!R85)/Lookups!L85)/((Lookups!AF85+Lookups!AG85)/Lookups!AA85))),1)</f>
        <v>1.2534223269125426</v>
      </c>
      <c r="L85" s="106">
        <f t="shared" si="4"/>
        <v>-2.7018516288868226</v>
      </c>
      <c r="M85" s="87" t="str">
        <f t="shared" si="5"/>
        <v>Non-Manipulator</v>
      </c>
      <c r="N85" s="107">
        <f>IFERROR(Lookups!O85/Lookups!L85,"")</f>
        <v>-4.9439590029049151E-2</v>
      </c>
      <c r="O85" s="108">
        <f>IFERROR(Lookups!I85/Lookups!Q85,"")</f>
        <v>0.97788693453593967</v>
      </c>
      <c r="P85" s="108">
        <f>IFERROR(Lookups!S85/Lookups!T85,"")</f>
        <v>0.54097003228065266</v>
      </c>
      <c r="Q85" s="107">
        <f>IFERROR((Lookups!L85-Lookups!AA85)/Lookups!AA85,"")</f>
        <v>-1.5325203963383809E-2</v>
      </c>
    </row>
    <row r="86" spans="1:17" ht="15" customHeight="1" x14ac:dyDescent="0.3">
      <c r="A86" s="27" t="s">
        <v>56</v>
      </c>
      <c r="B86" s="27" t="s">
        <v>57</v>
      </c>
      <c r="C86" s="28">
        <v>2020</v>
      </c>
      <c r="D86" s="31">
        <f>IFERROR(IF(Lookups!U86=0,1,IF(Lookups!W86=0,1,(Lookups!H86/Lookups!F86)/(Lookups!W86/Lookups!U86))),1)</f>
        <v>1.0308863296935198</v>
      </c>
      <c r="E86" s="31">
        <f>IFERROR(IF(Lookups!U86=0,1,IF(Lookups!F86=0,1,((Lookups!U86-Lookups!V86)/Lookups!U86)/((Lookups!F86-Lookups!G86)/Lookups!F86))),1)</f>
        <v>1.0067443413835928</v>
      </c>
      <c r="F86" s="31">
        <f>IFERROR(IF(Lookups!AA86=0,1,IF((1-(Lookups!X86+Lookups!Y86+Lookups!Z86)/Lookups!AA86)=0,1,(1-(Lookups!I86+Lookups!J86+Lookups!K86)/Lookups!L86)/(1-(Lookups!X86+Lookups!Y86+Lookups!Z86)/Lookups!AA86))),1)</f>
        <v>3.0810236308269743</v>
      </c>
      <c r="G86" s="31">
        <f>IFERROR(IF(Lookups!U86=0,1,Lookups!F86/Lookups!U86),1)</f>
        <v>1.2060021685948044</v>
      </c>
      <c r="H86" s="31">
        <f>IFERROR(IF((Lookups!Y86+Lookups!AC86)=0,1,IF((Lookups!J86+Lookups!N86)=0,1,(Lookups!AC86/(Lookups!Y86+Lookups!AC86))/(Lookups!N86/(Lookups!J86+Lookups!N86)))),1)</f>
        <v>1.2989297061394327</v>
      </c>
      <c r="I86" s="31">
        <f>IFERROR(IF(Lookups!U86=0,1,IF(Lookups!AB86=0,1,(Lookups!M86/Lookups!F86)/(Lookups!AB86/Lookups!U86))),1)</f>
        <v>0.73031472179848356</v>
      </c>
      <c r="J86" s="31">
        <f>IFERROR(IF(Lookups!L86=0,1,(Lookups!O86-Lookups!P86)/Lookups!L86),1)</f>
        <v>-1.4773202144989478E-2</v>
      </c>
      <c r="K86" s="31">
        <f>IFERROR(IF(Lookups!AA86=0,1,IF((Lookups!AF86+Lookups!AG86)=0,1,((Lookups!Q86+Lookups!R86)/Lookups!L86)/((Lookups!AF86+Lookups!AG86)/Lookups!AA86))),1)</f>
        <v>1.0315266668936065</v>
      </c>
      <c r="L86" s="32">
        <f t="shared" si="4"/>
        <v>-1.4222063320446812</v>
      </c>
      <c r="M86" s="29" t="str">
        <f t="shared" si="5"/>
        <v>Likely Manipulator</v>
      </c>
      <c r="N86" s="33">
        <f>IFERROR(Lookups!O86/Lookups!L86,"")</f>
        <v>-2.0902386963909024E-2</v>
      </c>
      <c r="O86" s="34">
        <f>IFERROR(Lookups!I86/Lookups!Q86,"")</f>
        <v>1.3383930609449897</v>
      </c>
      <c r="P86" s="34">
        <f>IFERROR(Lookups!S86/Lookups!T86,"")</f>
        <v>0.56988321403584308</v>
      </c>
      <c r="Q86" s="33">
        <f>IFERROR((Lookups!L86-Lookups!AA86)/Lookups!AA86,"")</f>
        <v>-1.3604896469351774E-2</v>
      </c>
    </row>
    <row r="87" spans="1:17" ht="15" customHeight="1" x14ac:dyDescent="0.3">
      <c r="A87" s="27" t="s">
        <v>56</v>
      </c>
      <c r="B87" s="27" t="s">
        <v>57</v>
      </c>
      <c r="C87" s="28">
        <v>2021</v>
      </c>
      <c r="D87" s="31">
        <f>IFERROR(IF(Lookups!U87=0,1,IF(Lookups!W87=0,1,(Lookups!H87/Lookups!F87)/(Lookups!W87/Lookups!U87))),1)</f>
        <v>0.53843144464102433</v>
      </c>
      <c r="E87" s="31">
        <f>IFERROR(IF(Lookups!U87=0,1,IF(Lookups!F87=0,1,((Lookups!U87-Lookups!V87)/Lookups!U87)/((Lookups!F87-Lookups!G87)/Lookups!F87))),1)</f>
        <v>1.0437725244320233</v>
      </c>
      <c r="F87" s="31">
        <f>IFERROR(IF(Lookups!AA87=0,1,IF((1-(Lookups!X87+Lookups!Y87+Lookups!Z87)/Lookups!AA87)=0,1,(1-(Lookups!I87+Lookups!J87+Lookups!K87)/Lookups!L87)/(1-(Lookups!X87+Lookups!Y87+Lookups!Z87)/Lookups!AA87))),1)</f>
        <v>0.70680318253261798</v>
      </c>
      <c r="G87" s="31">
        <f>IFERROR(IF(Lookups!U87=0,1,Lookups!F87/Lookups!U87),1)</f>
        <v>1.5748610134832897</v>
      </c>
      <c r="H87" s="31">
        <f>IFERROR(IF((Lookups!Y87+Lookups!AC87)=0,1,IF((Lookups!J87+Lookups!N87)=0,1,(Lookups!AC87/(Lookups!Y87+Lookups!AC87))/(Lookups!N87/(Lookups!J87+Lookups!N87)))),1)</f>
        <v>1.073905255616721</v>
      </c>
      <c r="I87" s="31">
        <f>IFERROR(IF(Lookups!U87=0,1,IF(Lookups!AB87=0,1,(Lookups!M87/Lookups!F87)/(Lookups!AB87/Lookups!U87))),1)</f>
        <v>0.79197776571958123</v>
      </c>
      <c r="J87" s="31">
        <f>IFERROR(IF(Lookups!L87=0,1,(Lookups!O87-Lookups!P87)/Lookups!L87),1)</f>
        <v>3.2106224866146081E-2</v>
      </c>
      <c r="K87" s="31">
        <f>IFERROR(IF(Lookups!AA87=0,1,IF((Lookups!AF87+Lookups!AG87)=0,1,((Lookups!Q87+Lookups!R87)/Lookups!L87)/((Lookups!AF87+Lookups!AG87)/Lookups!AA87))),1)</f>
        <v>0.63089521981526331</v>
      </c>
      <c r="L87" s="32">
        <f t="shared" si="4"/>
        <v>-2.1720054502986166</v>
      </c>
      <c r="M87" s="29" t="str">
        <f t="shared" si="5"/>
        <v>Likely Manipulator</v>
      </c>
      <c r="N87" s="33">
        <f>IFERROR(Lookups!O87/Lookups!L87,"")</f>
        <v>2.5039750237763357E-2</v>
      </c>
      <c r="O87" s="34">
        <f>IFERROR(Lookups!I87/Lookups!Q87,"")</f>
        <v>3.4627332800813302</v>
      </c>
      <c r="P87" s="34">
        <f>IFERROR(Lookups!S87/Lookups!T87,"")</f>
        <v>0.43668195365429696</v>
      </c>
      <c r="Q87" s="33">
        <f>IFERROR((Lookups!L87-Lookups!AA87)/Lookups!AA87,"")</f>
        <v>-5.0697521951610119E-2</v>
      </c>
    </row>
    <row r="88" spans="1:17" ht="15" customHeight="1" x14ac:dyDescent="0.3">
      <c r="A88" s="27" t="s">
        <v>56</v>
      </c>
      <c r="B88" s="27" t="s">
        <v>57</v>
      </c>
      <c r="C88" s="28">
        <v>2022</v>
      </c>
      <c r="D88" s="31">
        <f>IFERROR(IF(Lookups!U88=0,1,IF(Lookups!W88=0,1,(Lookups!H88/Lookups!F88)/(Lookups!W88/Lookups!U88))),1)</f>
        <v>1.7912619685616937</v>
      </c>
      <c r="E88" s="31">
        <f>IFERROR(IF(Lookups!U88=0,1,IF(Lookups!F88=0,1,((Lookups!U88-Lookups!V88)/Lookups!U88)/((Lookups!F88-Lookups!G88)/Lookups!F88))),1)</f>
        <v>0.83101162042455523</v>
      </c>
      <c r="F88" s="31">
        <f>IFERROR(IF(Lookups!AA88=0,1,IF((1-(Lookups!X88+Lookups!Y88+Lookups!Z88)/Lookups!AA88)=0,1,(1-(Lookups!I88+Lookups!J88+Lookups!K88)/Lookups!L88)/(1-(Lookups!X88+Lookups!Y88+Lookups!Z88)/Lookups!AA88))),1)</f>
        <v>0.53822219791106674</v>
      </c>
      <c r="G88" s="31">
        <f>IFERROR(IF(Lookups!U88=0,1,Lookups!F88/Lookups!U88),1)</f>
        <v>0.71803328190538196</v>
      </c>
      <c r="H88" s="31">
        <f>IFERROR(IF((Lookups!Y88+Lookups!AC88)=0,1,IF((Lookups!J88+Lookups!N88)=0,1,(Lookups!AC88/(Lookups!Y88+Lookups!AC88))/(Lookups!N88/(Lookups!J88+Lookups!N88)))),1)</f>
        <v>1.0562909850213091</v>
      </c>
      <c r="I88" s="31">
        <f>IFERROR(IF(Lookups!U88=0,1,IF(Lookups!AB88=0,1,(Lookups!M88/Lookups!F88)/(Lookups!AB88/Lookups!U88))),1)</f>
        <v>1.1823744882119953</v>
      </c>
      <c r="J88" s="31">
        <f>IFERROR(IF(Lookups!L88=0,1,(Lookups!O88-Lookups!P88)/Lookups!L88),1)</f>
        <v>-7.2133463290996874E-2</v>
      </c>
      <c r="K88" s="31">
        <f>IFERROR(IF(Lookups!AA88=0,1,IF((Lookups!AF88+Lookups!AG88)=0,1,((Lookups!Q88+Lookups!R88)/Lookups!L88)/((Lookups!AF88+Lookups!AG88)/Lookups!AA88))),1)</f>
        <v>1.279146177372483</v>
      </c>
      <c r="L88" s="32">
        <f t="shared" si="4"/>
        <v>-2.7330256213577928</v>
      </c>
      <c r="M88" s="29" t="str">
        <f t="shared" si="5"/>
        <v>Non-Manipulator</v>
      </c>
      <c r="N88" s="33">
        <f>IFERROR(Lookups!O88/Lookups!L88,"")</f>
        <v>-6.1133833286144336E-2</v>
      </c>
      <c r="O88" s="34">
        <f>IFERROR(Lookups!I88/Lookups!Q88,"")</f>
        <v>1.4803884514853376</v>
      </c>
      <c r="P88" s="34">
        <f>IFERROR(Lookups!S88/Lookups!T88,"")</f>
        <v>0.53082978179338558</v>
      </c>
      <c r="Q88" s="33">
        <f>IFERROR((Lookups!L88-Lookups!AA88)/Lookups!AA88,"")</f>
        <v>-5.3180177178513359E-2</v>
      </c>
    </row>
    <row r="89" spans="1:17" ht="15" customHeight="1" thickBot="1" x14ac:dyDescent="0.35">
      <c r="A89" s="70" t="s">
        <v>56</v>
      </c>
      <c r="B89" s="70" t="s">
        <v>57</v>
      </c>
      <c r="C89" s="71">
        <v>2023</v>
      </c>
      <c r="D89" s="93">
        <f>IFERROR(IF(Lookups!U89=0,1,IF(Lookups!W89=0,1,(Lookups!H89/Lookups!F89)/(Lookups!W89/Lookups!U89))),1)</f>
        <v>0.71882178617869696</v>
      </c>
      <c r="E89" s="93">
        <f>IFERROR(IF(Lookups!U89=0,1,IF(Lookups!F89=0,1,((Lookups!U89-Lookups!V89)/Lookups!U89)/((Lookups!F89-Lookups!G89)/Lookups!F89))),1)</f>
        <v>0.93687570892703287</v>
      </c>
      <c r="F89" s="93">
        <f>IFERROR(IF(Lookups!AA89=0,1,IF((1-(Lookups!X89+Lookups!Y89+Lookups!Z89)/Lookups!AA89)=0,1,(1-(Lookups!I89+Lookups!J89+Lookups!K89)/Lookups!L89)/(1-(Lookups!X89+Lookups!Y89+Lookups!Z89)/Lookups!AA89))),1)</f>
        <v>0</v>
      </c>
      <c r="G89" s="93">
        <f>IFERROR(IF(Lookups!U89=0,1,Lookups!F89/Lookups!U89),1)</f>
        <v>0.50804349968787987</v>
      </c>
      <c r="H89" s="93">
        <f>IFERROR(IF((Lookups!Y89+Lookups!AC89)=0,1,IF((Lookups!J89+Lookups!N89)=0,1,(Lookups!AC89/(Lookups!Y89+Lookups!AC89))/(Lookups!N89/(Lookups!J89+Lookups!N89)))),1)</f>
        <v>0.28067467898222315</v>
      </c>
      <c r="I89" s="93">
        <f>IFERROR(IF(Lookups!U89=0,1,IF(Lookups!AB89=0,1,(Lookups!M89/Lookups!F89)/(Lookups!AB89/Lookups!U89))),1)</f>
        <v>2.1402866270131771</v>
      </c>
      <c r="J89" s="93">
        <f>IFERROR(IF(Lookups!L89=0,1,(Lookups!O89-Lookups!P89)/Lookups!L89),1)</f>
        <v>-0.18192381254796455</v>
      </c>
      <c r="K89" s="93">
        <f>IFERROR(IF(Lookups!AA89=0,1,IF((Lookups!AF89+Lookups!AG89)=0,1,((Lookups!Q89+Lookups!R89)/Lookups!L89)/((Lookups!AF89+Lookups!AG89)/Lookups!AA89))),1)</f>
        <v>1.2731622931324389</v>
      </c>
      <c r="L89" s="94">
        <f t="shared" si="4"/>
        <v>-4.8342360812100811</v>
      </c>
      <c r="M89" s="72" t="str">
        <f t="shared" si="5"/>
        <v>Non-Manipulator</v>
      </c>
      <c r="N89" s="95">
        <f>IFERROR(Lookups!O89/Lookups!L89,"")</f>
        <v>-0.17394965858409092</v>
      </c>
      <c r="O89" s="96">
        <f>IFERROR(Lookups!I89/Lookups!Q89,"")</f>
        <v>0.75181788758226342</v>
      </c>
      <c r="P89" s="96">
        <f>IFERROR(Lookups!S89/Lookups!T89,"")</f>
        <v>0.7191100501090929</v>
      </c>
      <c r="Q89" s="95">
        <f>IFERROR((Lookups!L89-Lookups!AA89)/Lookups!AA89,"")</f>
        <v>-0.13552067560167363</v>
      </c>
    </row>
    <row r="90" spans="1:17" ht="15" customHeight="1" x14ac:dyDescent="0.3">
      <c r="A90" s="77" t="s">
        <v>58</v>
      </c>
      <c r="B90" s="77" t="s">
        <v>59</v>
      </c>
      <c r="C90" s="78">
        <v>2019</v>
      </c>
      <c r="D90" s="97">
        <f>IFERROR(IF(Lookups!U90=0,1,IF(Lookups!W90=0,1,(Lookups!H90/Lookups!F90)/(Lookups!W90/Lookups!U90))),1)</f>
        <v>1.0429762963195435</v>
      </c>
      <c r="E90" s="97">
        <f>IFERROR(IF(Lookups!U90=0,1,IF(Lookups!F90=0,1,((Lookups!U90-Lookups!V90)/Lookups!U90)/((Lookups!F90-Lookups!G90)/Lookups!F90))),1)</f>
        <v>1.0243771713843108</v>
      </c>
      <c r="F90" s="97">
        <f>IFERROR(IF(Lookups!AA90=0,1,IF((1-(Lookups!X90+Lookups!Y90+Lookups!Z90)/Lookups!AA90)=0,1,(1-(Lookups!I90+Lookups!J90+Lookups!K90)/Lookups!L90)/(1-(Lookups!X90+Lookups!Y90+Lookups!Z90)/Lookups!AA90))),1)</f>
        <v>1.2677732918224831</v>
      </c>
      <c r="G90" s="97">
        <f>IFERROR(IF(Lookups!U90=0,1,Lookups!F90/Lookups!U90),1)</f>
        <v>0.55046349815472206</v>
      </c>
      <c r="H90" s="97">
        <f>IFERROR(IF((Lookups!Y90+Lookups!AC90)=0,1,IF((Lookups!J90+Lookups!N90)=0,1,(Lookups!AC90/(Lookups!Y90+Lookups!AC90))/(Lookups!N90/(Lookups!J90+Lookups!N90)))),1)</f>
        <v>1</v>
      </c>
      <c r="I90" s="97">
        <f>IFERROR(IF(Lookups!U90=0,1,IF(Lookups!AB90=0,1,(Lookups!M90/Lookups!F90)/(Lookups!AB90/Lookups!U90))),1)</f>
        <v>1.3657254275954567</v>
      </c>
      <c r="J90" s="97">
        <f>IFERROR(IF(Lookups!L90=0,1,(Lookups!O90-Lookups!P90)/Lookups!L90),1)</f>
        <v>-4.0684193110359188E-2</v>
      </c>
      <c r="K90" s="97">
        <f>IFERROR(IF(Lookups!AA90=0,1,IF((Lookups!AF90+Lookups!AG90)=0,1,((Lookups!Q90+Lookups!R90)/Lookups!L90)/((Lookups!AF90+Lookups!AG90)/Lookups!AA90))),1)</f>
        <v>0.93540455293475011</v>
      </c>
      <c r="L90" s="98">
        <f t="shared" si="4"/>
        <v>-2.9525402125642608</v>
      </c>
      <c r="M90" s="79" t="str">
        <f t="shared" si="5"/>
        <v>Non-Manipulator</v>
      </c>
      <c r="N90" s="99">
        <f>IFERROR(Lookups!O90/Lookups!L90,"")</f>
        <v>-4.5986083595705961E-2</v>
      </c>
      <c r="O90" s="100">
        <f>IFERROR(Lookups!I90/Lookups!Q90,"")</f>
        <v>0.80601658055396797</v>
      </c>
      <c r="P90" s="100">
        <f>IFERROR(Lookups!S90/Lookups!T90,"")</f>
        <v>1.1098074332634482</v>
      </c>
      <c r="Q90" s="99">
        <f>IFERROR((Lookups!L90-Lookups!AA90)/Lookups!AA90,"")</f>
        <v>-0.21524317770441098</v>
      </c>
    </row>
    <row r="91" spans="1:17" ht="15" customHeight="1" thickBot="1" x14ac:dyDescent="0.35">
      <c r="A91" s="81" t="s">
        <v>58</v>
      </c>
      <c r="B91" s="81" t="s">
        <v>59</v>
      </c>
      <c r="C91" s="82">
        <v>2020</v>
      </c>
      <c r="D91" s="101">
        <f>IFERROR(IF(Lookups!U91=0,1,IF(Lookups!W91=0,1,(Lookups!H91/Lookups!F91)/(Lookups!W91/Lookups!U91))),1)</f>
        <v>5.4550936878592449</v>
      </c>
      <c r="E91" s="101">
        <f>IFERROR(IF(Lookups!U91=0,1,IF(Lookups!F91=0,1,((Lookups!U91-Lookups!V91)/Lookups!U91)/((Lookups!F91-Lookups!G91)/Lookups!F91))),1)</f>
        <v>0.95119477458192625</v>
      </c>
      <c r="F91" s="101">
        <f>IFERROR(IF(Lookups!AA91=0,1,IF((1-(Lookups!X91+Lookups!Y91+Lookups!Z91)/Lookups!AA91)=0,1,(1-(Lookups!I91+Lookups!J91+Lookups!K91)/Lookups!L91)/(1-(Lookups!X91+Lookups!Y91+Lookups!Z91)/Lookups!AA91))),1)</f>
        <v>1.5473844739636313</v>
      </c>
      <c r="G91" s="101">
        <f>IFERROR(IF(Lookups!U91=0,1,Lookups!F91/Lookups!U91),1)</f>
        <v>0.45491184456001621</v>
      </c>
      <c r="H91" s="101">
        <f>IFERROR(IF((Lookups!Y91+Lookups!AC91)=0,1,IF((Lookups!J91+Lookups!N91)=0,1,(Lookups!AC91/(Lookups!Y91+Lookups!AC91))/(Lookups!N91/(Lookups!J91+Lookups!N91)))),1)</f>
        <v>1</v>
      </c>
      <c r="I91" s="101">
        <f>IFERROR(IF(Lookups!U91=0,1,IF(Lookups!AB91=0,1,(Lookups!M91/Lookups!F91)/(Lookups!AB91/Lookups!U91))),1)</f>
        <v>1.3026724152413929</v>
      </c>
      <c r="J91" s="101">
        <f>IFERROR(IF(Lookups!L91=0,1,(Lookups!O91-Lookups!P91)/Lookups!L91),1)</f>
        <v>-3.8974823663755008E-2</v>
      </c>
      <c r="K91" s="101">
        <f>IFERROR(IF(Lookups!AA91=0,1,IF((Lookups!AF91+Lookups!AG91)=0,1,((Lookups!Q91+Lookups!R91)/Lookups!L91)/((Lookups!AF91+Lookups!AG91)/Lookups!AA91))),1)</f>
        <v>0.54402326620131136</v>
      </c>
      <c r="L91" s="102">
        <f t="shared" si="4"/>
        <v>1.2425232632465457</v>
      </c>
      <c r="M91" s="83" t="str">
        <f t="shared" si="5"/>
        <v>Likely Manipulator</v>
      </c>
      <c r="N91" s="103">
        <f>IFERROR(Lookups!O91/Lookups!L91,"")</f>
        <v>-3.0202074928317033E-2</v>
      </c>
      <c r="O91" s="104">
        <f>IFERROR(Lookups!I91/Lookups!Q91,"")</f>
        <v>0.73370915338749099</v>
      </c>
      <c r="P91" s="104">
        <f>IFERROR(Lookups!S91/Lookups!T91,"")</f>
        <v>0.73358258297896417</v>
      </c>
      <c r="Q91" s="103">
        <f>IFERROR((Lookups!L91-Lookups!AA91)/Lookups!AA91,"")</f>
        <v>1.2421739380877901</v>
      </c>
    </row>
    <row r="92" spans="1:17" ht="15" customHeight="1" x14ac:dyDescent="0.3">
      <c r="A92" s="85" t="s">
        <v>62</v>
      </c>
      <c r="B92" s="85" t="s">
        <v>63</v>
      </c>
      <c r="C92" s="86">
        <v>2019</v>
      </c>
      <c r="D92" s="105">
        <f>IFERROR(IF(Lookups!U92=0,1,IF(Lookups!W92=0,1,(Lookups!H92/Lookups!F92)/(Lookups!W92/Lookups!U92))),1)</f>
        <v>1</v>
      </c>
      <c r="E92" s="105">
        <f>IFERROR(IF(Lookups!U92=0,1,IF(Lookups!F92=0,1,((Lookups!U92-Lookups!V92)/Lookups!U92)/((Lookups!F92-Lookups!G92)/Lookups!F92))),1)</f>
        <v>0.99248048091074348</v>
      </c>
      <c r="F92" s="105">
        <f>IFERROR(IF(Lookups!AA92=0,1,IF((1-(Lookups!X92+Lookups!Y92+Lookups!Z92)/Lookups!AA92)=0,1,(1-(Lookups!I92+Lookups!J92+Lookups!K92)/Lookups!L92)/(1-(Lookups!X92+Lookups!Y92+Lookups!Z92)/Lookups!AA92))),1)</f>
        <v>1.5487215862436738</v>
      </c>
      <c r="G92" s="105">
        <f>IFERROR(IF(Lookups!U92=0,1,Lookups!F92/Lookups!U92),1)</f>
        <v>0.95442373629039268</v>
      </c>
      <c r="H92" s="105">
        <f>IFERROR(IF((Lookups!Y92+Lookups!AC92)=0,1,IF((Lookups!J92+Lookups!N92)=0,1,(Lookups!AC92/(Lookups!Y92+Lookups!AC92))/(Lookups!N92/(Lookups!J92+Lookups!N92)))),1)</f>
        <v>1</v>
      </c>
      <c r="I92" s="105">
        <f>IFERROR(IF(Lookups!U92=0,1,IF(Lookups!AB92=0,1,(Lookups!M92/Lookups!F92)/(Lookups!AB92/Lookups!U92))),1)</f>
        <v>0.91095110365930676</v>
      </c>
      <c r="J92" s="105">
        <f>IFERROR(IF(Lookups!L92=0,1,(Lookups!O92-Lookups!P92)/Lookups!L92),1)</f>
        <v>0.29901718740249245</v>
      </c>
      <c r="K92" s="105">
        <f>IFERROR(IF(Lookups!AA92=0,1,IF((Lookups!AF92+Lookups!AG92)=0,1,((Lookups!Q92+Lookups!R92)/Lookups!L92)/((Lookups!AF92+Lookups!AG92)/Lookups!AA92))),1)</f>
        <v>0.54097147366959686</v>
      </c>
      <c r="L92" s="106">
        <f t="shared" si="4"/>
        <v>-0.73842065432874993</v>
      </c>
      <c r="M92" s="87" t="str">
        <f t="shared" si="5"/>
        <v>Likely Manipulator</v>
      </c>
      <c r="N92" s="107">
        <f>IFERROR(Lookups!O92/Lookups!L92,"")</f>
        <v>0.31835903281633204</v>
      </c>
      <c r="O92" s="108">
        <f>IFERROR(Lookups!I92/Lookups!Q92,"")</f>
        <v>2.1323577510329357</v>
      </c>
      <c r="P92" s="108">
        <f>IFERROR(Lookups!S92/Lookups!T92,"")</f>
        <v>1.073120746685607</v>
      </c>
      <c r="Q92" s="107">
        <f>IFERROR((Lookups!L92-Lookups!AA92)/Lookups!AA92,"")</f>
        <v>0.42238256399799429</v>
      </c>
    </row>
    <row r="93" spans="1:17" ht="15" customHeight="1" thickBot="1" x14ac:dyDescent="0.35">
      <c r="A93" s="70" t="s">
        <v>62</v>
      </c>
      <c r="B93" s="70" t="s">
        <v>63</v>
      </c>
      <c r="C93" s="71">
        <v>2020</v>
      </c>
      <c r="D93" s="93">
        <f>IFERROR(IF(Lookups!U93=0,1,IF(Lookups!W93=0,1,(Lookups!H93/Lookups!F93)/(Lookups!W93/Lookups!U93))),1)</f>
        <v>1</v>
      </c>
      <c r="E93" s="93">
        <f>IFERROR(IF(Lookups!U93=0,1,IF(Lookups!F93=0,1,((Lookups!U93-Lookups!V93)/Lookups!U93)/((Lookups!F93-Lookups!G93)/Lookups!F93))),1)</f>
        <v>1</v>
      </c>
      <c r="F93" s="93">
        <f>IFERROR(IF(Lookups!AA93=0,1,IF((1-(Lookups!X93+Lookups!Y93+Lookups!Z93)/Lookups!AA93)=0,1,(1-(Lookups!I93+Lookups!J93+Lookups!K93)/Lookups!L93)/(1-(Lookups!X93+Lookups!Y93+Lookups!Z93)/Lookups!AA93))),1)</f>
        <v>1</v>
      </c>
      <c r="G93" s="93">
        <f>IFERROR(IF(Lookups!U93=0,1,Lookups!F93/Lookups!U93),1)</f>
        <v>0</v>
      </c>
      <c r="H93" s="93">
        <f>IFERROR(IF((Lookups!Y93+Lookups!AC93)=0,1,IF((Lookups!J93+Lookups!N93)=0,1,(Lookups!AC93/(Lookups!Y93+Lookups!AC93))/(Lookups!N93/(Lookups!J93+Lookups!N93)))),1)</f>
        <v>1</v>
      </c>
      <c r="I93" s="93">
        <f>IFERROR(IF(Lookups!U93=0,1,IF(Lookups!AB93=0,1,(Lookups!M93/Lookups!F93)/(Lookups!AB93/Lookups!U93))),1)</f>
        <v>1</v>
      </c>
      <c r="J93" s="93">
        <f>IFERROR(IF(Lookups!L93=0,1,(Lookups!O93-Lookups!P93)/Lookups!L93),1)</f>
        <v>1</v>
      </c>
      <c r="K93" s="93">
        <f>IFERROR(IF(Lookups!AA93=0,1,IF((Lookups!AF93+Lookups!AG93)=0,1,((Lookups!Q93+Lookups!R93)/Lookups!L93)/((Lookups!AF93+Lookups!AG93)/Lookups!AA93))),1)</f>
        <v>1</v>
      </c>
      <c r="L93" s="94">
        <f t="shared" si="4"/>
        <v>1.3070000000000004</v>
      </c>
      <c r="M93" s="72" t="str">
        <f t="shared" si="5"/>
        <v>Likely Manipulator</v>
      </c>
      <c r="N93" s="95" t="str">
        <f>IFERROR(Lookups!O93/Lookups!L93,"")</f>
        <v/>
      </c>
      <c r="O93" s="96" t="str">
        <f>IFERROR(Lookups!I93/Lookups!Q93,"")</f>
        <v/>
      </c>
      <c r="P93" s="96" t="str">
        <f>IFERROR(Lookups!S93/Lookups!T93,"")</f>
        <v/>
      </c>
      <c r="Q93" s="95">
        <f>IFERROR((Lookups!L93-Lookups!AA93)/Lookups!AA93,"")</f>
        <v>-1</v>
      </c>
    </row>
    <row r="94" spans="1:17" ht="15" customHeight="1" x14ac:dyDescent="0.3">
      <c r="A94" s="77" t="s">
        <v>65</v>
      </c>
      <c r="B94" s="77" t="s">
        <v>66</v>
      </c>
      <c r="C94" s="78">
        <v>2021</v>
      </c>
      <c r="D94" s="97">
        <f>IFERROR(IF(Lookups!U94=0,1,IF(Lookups!W94=0,1,(Lookups!H94/Lookups!F94)/(Lookups!W94/Lookups!U94))),1)</f>
        <v>1.007396441931208</v>
      </c>
      <c r="E94" s="97">
        <f>IFERROR(IF(Lookups!U94=0,1,IF(Lookups!F94=0,1,((Lookups!U94-Lookups!V94)/Lookups!U94)/((Lookups!F94-Lookups!G94)/Lookups!F94))),1)</f>
        <v>1.0533618211644358</v>
      </c>
      <c r="F94" s="97">
        <f>IFERROR(IF(Lookups!AA94=0,1,IF((1-(Lookups!X94+Lookups!Y94+Lookups!Z94)/Lookups!AA94)=0,1,(1-(Lookups!I94+Lookups!J94+Lookups!K94)/Lookups!L94)/(1-(Lookups!X94+Lookups!Y94+Lookups!Z94)/Lookups!AA94))),1)</f>
        <v>1.6112830882271683</v>
      </c>
      <c r="G94" s="97">
        <f>IFERROR(IF(Lookups!U94=0,1,Lookups!F94/Lookups!U94),1)</f>
        <v>1.1306490025854301</v>
      </c>
      <c r="H94" s="97">
        <f>IFERROR(IF((Lookups!Y94+Lookups!AC94)=0,1,IF((Lookups!J94+Lookups!N94)=0,1,(Lookups!AC94/(Lookups!Y94+Lookups!AC94))/(Lookups!N94/(Lookups!J94+Lookups!N94)))),1)</f>
        <v>0.89707015548897084</v>
      </c>
      <c r="I94" s="97">
        <f>IFERROR(IF(Lookups!U94=0,1,IF(Lookups!AB94=0,1,(Lookups!M94/Lookups!F94)/(Lookups!AB94/Lookups!U94))),1)</f>
        <v>0.9293811464506252</v>
      </c>
      <c r="J94" s="97">
        <f>IFERROR(IF(Lookups!L94=0,1,(Lookups!O94-Lookups!P94)/Lookups!L94),1)</f>
        <v>7.2446038812732594E-2</v>
      </c>
      <c r="K94" s="97">
        <f>IFERROR(IF(Lookups!AA94=0,1,IF((Lookups!AF94+Lookups!AG94)=0,1,((Lookups!Q94+Lookups!R94)/Lookups!L94)/((Lookups!AF94+Lookups!AG94)/Lookups!AA94))),1)</f>
        <v>0.9765982351614676</v>
      </c>
      <c r="L94" s="98">
        <f t="shared" si="4"/>
        <v>-1.7345860504997863</v>
      </c>
      <c r="M94" s="79" t="str">
        <f t="shared" si="5"/>
        <v>Likely Manipulator</v>
      </c>
      <c r="N94" s="99">
        <f>IFERROR(Lookups!O94/Lookups!L94,"")</f>
        <v>7.6795601647758602E-2</v>
      </c>
      <c r="O94" s="100">
        <f>IFERROR(Lookups!I94/Lookups!Q94,"")</f>
        <v>1.0873273365235128</v>
      </c>
      <c r="P94" s="100">
        <f>IFERROR(Lookups!S94/Lookups!T94,"")</f>
        <v>4.4483057835691531</v>
      </c>
      <c r="Q94" s="99">
        <f>IFERROR((Lookups!L94-Lookups!AA94)/Lookups!AA94,"")</f>
        <v>0.17623415940642834</v>
      </c>
    </row>
    <row r="95" spans="1:17" ht="15" customHeight="1" x14ac:dyDescent="0.3">
      <c r="A95" s="27" t="s">
        <v>65</v>
      </c>
      <c r="B95" s="27" t="s">
        <v>66</v>
      </c>
      <c r="C95" s="28">
        <v>2022</v>
      </c>
      <c r="D95" s="31">
        <f>IFERROR(IF(Lookups!U95=0,1,IF(Lookups!W95=0,1,(Lookups!H95/Lookups!F95)/(Lookups!W95/Lookups!U95))),1)</f>
        <v>0.7689721486758232</v>
      </c>
      <c r="E95" s="31">
        <f>IFERROR(IF(Lookups!U95=0,1,IF(Lookups!F95=0,1,((Lookups!U95-Lookups!V95)/Lookups!U95)/((Lookups!F95-Lookups!G95)/Lookups!F95))),1)</f>
        <v>1.0043496027400982</v>
      </c>
      <c r="F95" s="31">
        <f>IFERROR(IF(Lookups!AA95=0,1,IF((1-(Lookups!X95+Lookups!Y95+Lookups!Z95)/Lookups!AA95)=0,1,(1-(Lookups!I95+Lookups!J95+Lookups!K95)/Lookups!L95)/(1-(Lookups!X95+Lookups!Y95+Lookups!Z95)/Lookups!AA95))),1)</f>
        <v>1.0368367508711276</v>
      </c>
      <c r="G95" s="31">
        <f>IFERROR(IF(Lookups!U95=0,1,Lookups!F95/Lookups!U95),1)</f>
        <v>1.2852749890847186</v>
      </c>
      <c r="H95" s="31">
        <f>IFERROR(IF((Lookups!Y95+Lookups!AC95)=0,1,IF((Lookups!J95+Lookups!N95)=0,1,(Lookups!AC95/(Lookups!Y95+Lookups!AC95))/(Lookups!N95/(Lookups!J95+Lookups!N95)))),1)</f>
        <v>1.0703232920416912</v>
      </c>
      <c r="I95" s="31">
        <f>IFERROR(IF(Lookups!U95=0,1,IF(Lookups!AB95=0,1,(Lookups!M95/Lookups!F95)/(Lookups!AB95/Lookups!U95))),1)</f>
        <v>1.1991900283280852</v>
      </c>
      <c r="J95" s="31">
        <f>IFERROR(IF(Lookups!L95=0,1,(Lookups!O95-Lookups!P95)/Lookups!L95),1)</f>
        <v>-0.15115884078237268</v>
      </c>
      <c r="K95" s="31">
        <f>IFERROR(IF(Lookups!AA95=0,1,IF((Lookups!AF95+Lookups!AG95)=0,1,((Lookups!Q95+Lookups!R95)/Lookups!L95)/((Lookups!AF95+Lookups!AG95)/Lookups!AA95))),1)</f>
        <v>1.0968460356611671</v>
      </c>
      <c r="L95" s="32">
        <f t="shared" si="4"/>
        <v>-3.1860160713255259</v>
      </c>
      <c r="M95" s="29" t="str">
        <f t="shared" si="5"/>
        <v>Non-Manipulator</v>
      </c>
      <c r="N95" s="33">
        <f>IFERROR(Lookups!O95/Lookups!L95,"")</f>
        <v>-4.5921710037190554E-2</v>
      </c>
      <c r="O95" s="34">
        <f>IFERROR(Lookups!I95/Lookups!Q95,"")</f>
        <v>0.98531101041835456</v>
      </c>
      <c r="P95" s="34">
        <f>IFERROR(Lookups!S95/Lookups!T95,"")</f>
        <v>8.1465059256729511</v>
      </c>
      <c r="Q95" s="33">
        <f>IFERROR((Lookups!L95-Lookups!AA95)/Lookups!AA95,"")</f>
        <v>0.1822200164682731</v>
      </c>
    </row>
    <row r="96" spans="1:17" ht="15" customHeight="1" thickBot="1" x14ac:dyDescent="0.35">
      <c r="A96" s="81" t="s">
        <v>65</v>
      </c>
      <c r="B96" s="81" t="s">
        <v>66</v>
      </c>
      <c r="C96" s="82">
        <v>2023</v>
      </c>
      <c r="D96" s="101">
        <f>IFERROR(IF(Lookups!U96=0,1,IF(Lookups!W96=0,1,(Lookups!H96/Lookups!F96)/(Lookups!W96/Lookups!U96))),1)</f>
        <v>0.65281485666413674</v>
      </c>
      <c r="E96" s="101">
        <f>IFERROR(IF(Lookups!U96=0,1,IF(Lookups!F96=0,1,((Lookups!U96-Lookups!V96)/Lookups!U96)/((Lookups!F96-Lookups!G96)/Lookups!F96))),1)</f>
        <v>1.0136729088362577</v>
      </c>
      <c r="F96" s="101">
        <f>IFERROR(IF(Lookups!AA96=0,1,IF((1-(Lookups!X96+Lookups!Y96+Lookups!Z96)/Lookups!AA96)=0,1,(1-(Lookups!I96+Lookups!J96+Lookups!K96)/Lookups!L96)/(1-(Lookups!X96+Lookups!Y96+Lookups!Z96)/Lookups!AA96))),1)</f>
        <v>0.35841640699942967</v>
      </c>
      <c r="G96" s="101">
        <f>IFERROR(IF(Lookups!U96=0,1,Lookups!F96/Lookups!U96),1)</f>
        <v>1.4719651086248164</v>
      </c>
      <c r="H96" s="101">
        <f>IFERROR(IF((Lookups!Y96+Lookups!AC96)=0,1,IF((Lookups!J96+Lookups!N96)=0,1,(Lookups!AC96/(Lookups!Y96+Lookups!AC96))/(Lookups!N96/(Lookups!J96+Lookups!N96)))),1)</f>
        <v>0.92071201031643268</v>
      </c>
      <c r="I96" s="101">
        <f>IFERROR(IF(Lookups!U96=0,1,IF(Lookups!AB96=0,1,(Lookups!M96/Lookups!F96)/(Lookups!AB96/Lookups!U96))),1)</f>
        <v>0.81140142316804065</v>
      </c>
      <c r="J96" s="101">
        <f>IFERROR(IF(Lookups!L96=0,1,(Lookups!O96-Lookups!P96)/Lookups!L96),1)</f>
        <v>-8.3597283034445177E-2</v>
      </c>
      <c r="K96" s="101">
        <f>IFERROR(IF(Lookups!AA96=0,1,IF((Lookups!AF96+Lookups!AG96)=0,1,((Lookups!Q96+Lookups!R96)/Lookups!L96)/((Lookups!AF96+Lookups!AG96)/Lookups!AA96))),1)</f>
        <v>0.84988436552734015</v>
      </c>
      <c r="L96" s="102">
        <f t="shared" si="4"/>
        <v>-2.9491409691264661</v>
      </c>
      <c r="M96" s="83" t="str">
        <f t="shared" si="5"/>
        <v>Non-Manipulator</v>
      </c>
      <c r="N96" s="103">
        <f>IFERROR(Lookups!O96/Lookups!L96,"")</f>
        <v>9.6573347205411206E-2</v>
      </c>
      <c r="O96" s="104">
        <f>IFERROR(Lookups!I96/Lookups!Q96,"")</f>
        <v>1.2063639671455468</v>
      </c>
      <c r="P96" s="104">
        <f>IFERROR(Lookups!S96/Lookups!T96,"")</f>
        <v>3.7839406493910164</v>
      </c>
      <c r="Q96" s="103">
        <f>IFERROR((Lookups!L96-Lookups!AA96)/Lookups!AA96,"")</f>
        <v>4.0815314680431231E-2</v>
      </c>
    </row>
    <row r="97" spans="1:17" ht="15" customHeight="1" x14ac:dyDescent="0.3">
      <c r="A97" s="66" t="s">
        <v>70</v>
      </c>
      <c r="B97" s="66" t="s">
        <v>71</v>
      </c>
      <c r="C97" s="67">
        <v>2019</v>
      </c>
      <c r="D97" s="89">
        <f>IFERROR(IF(Lookups!U97=0,1,IF(Lookups!W97=0,1,(Lookups!H97/Lookups!F97)/(Lookups!W97/Lookups!U97))),1)</f>
        <v>1.8082695290645914</v>
      </c>
      <c r="E97" s="89">
        <f>IFERROR(IF(Lookups!U97=0,1,IF(Lookups!F97=0,1,((Lookups!U97-Lookups!V97)/Lookups!U97)/((Lookups!F97-Lookups!G97)/Lookups!F97))),1)</f>
        <v>0.80823924491114274</v>
      </c>
      <c r="F97" s="89">
        <f>IFERROR(IF(Lookups!AA97=0,1,IF((1-(Lookups!X97+Lookups!Y97+Lookups!Z97)/Lookups!AA97)=0,1,(1-(Lookups!I97+Lookups!J97+Lookups!K97)/Lookups!L97)/(1-(Lookups!X97+Lookups!Y97+Lookups!Z97)/Lookups!AA97))),1)</f>
        <v>1.002918586435203</v>
      </c>
      <c r="G97" s="89">
        <f>IFERROR(IF(Lookups!U97=0,1,Lookups!F97/Lookups!U97),1)</f>
        <v>0.43144787439393251</v>
      </c>
      <c r="H97" s="89">
        <f>IFERROR(IF((Lookups!Y97+Lookups!AC97)=0,1,IF((Lookups!J97+Lookups!N97)=0,1,(Lookups!AC97/(Lookups!Y97+Lookups!AC97))/(Lookups!N97/(Lookups!J97+Lookups!N97)))),1)</f>
        <v>1.1178445103948251</v>
      </c>
      <c r="I97" s="89">
        <f>IFERROR(IF(Lookups!U97=0,1,IF(Lookups!AB97=0,1,(Lookups!M97/Lookups!F97)/(Lookups!AB97/Lookups!U97))),1)</f>
        <v>1.465939080832722</v>
      </c>
      <c r="J97" s="89">
        <f>IFERROR(IF(Lookups!L97=0,1,(Lookups!O97-Lookups!P97)/Lookups!L97),1)</f>
        <v>-0.2010371423871542</v>
      </c>
      <c r="K97" s="89">
        <f>IFERROR(IF(Lookups!AA97=0,1,IF((Lookups!AF97+Lookups!AG97)=0,1,((Lookups!Q97+Lookups!R97)/Lookups!L97)/((Lookups!AF97+Lookups!AG97)/Lookups!AA97))),1)</f>
        <v>1.3574430141241658</v>
      </c>
      <c r="L97" s="90">
        <f t="shared" si="4"/>
        <v>-3.4677371571242026</v>
      </c>
      <c r="M97" s="68" t="str">
        <f t="shared" si="5"/>
        <v>Non-Manipulator</v>
      </c>
      <c r="N97" s="91">
        <f>IFERROR(Lookups!O97/Lookups!L97,"")</f>
        <v>-0.32313841064136084</v>
      </c>
      <c r="O97" s="92">
        <f>IFERROR(Lookups!I97/Lookups!Q97,"")</f>
        <v>0.11778880122817528</v>
      </c>
      <c r="P97" s="92">
        <f>IFERROR(Lookups!S97/Lookups!T97,"")</f>
        <v>-5.3102841603452644</v>
      </c>
      <c r="Q97" s="91">
        <f>IFERROR((Lookups!L97-Lookups!AA97)/Lookups!AA97,"")</f>
        <v>-8.1751352984305525E-2</v>
      </c>
    </row>
    <row r="98" spans="1:17" ht="15" customHeight="1" x14ac:dyDescent="0.3">
      <c r="A98" s="27" t="s">
        <v>70</v>
      </c>
      <c r="B98" s="27" t="s">
        <v>71</v>
      </c>
      <c r="C98" s="28">
        <v>2020</v>
      </c>
      <c r="D98" s="31">
        <f>IFERROR(IF(Lookups!U98=0,1,IF(Lookups!W98=0,1,(Lookups!H98/Lookups!F98)/(Lookups!W98/Lookups!U98))),1)</f>
        <v>1</v>
      </c>
      <c r="E98" s="31">
        <f>IFERROR(IF(Lookups!U98=0,1,IF(Lookups!F98=0,1,((Lookups!U98-Lookups!V98)/Lookups!U98)/((Lookups!F98-Lookups!G98)/Lookups!F98))),1)</f>
        <v>1</v>
      </c>
      <c r="F98" s="31">
        <f>IFERROR(IF(Lookups!AA98=0,1,IF((1-(Lookups!X98+Lookups!Y98+Lookups!Z98)/Lookups!AA98)=0,1,(1-(Lookups!I98+Lookups!J98+Lookups!K98)/Lookups!L98)/(1-(Lookups!X98+Lookups!Y98+Lookups!Z98)/Lookups!AA98))),1)</f>
        <v>0.80692441155727257</v>
      </c>
      <c r="G98" s="31">
        <f>IFERROR(IF(Lookups!U98=0,1,Lookups!F98/Lookups!U98),1)</f>
        <v>0</v>
      </c>
      <c r="H98" s="31">
        <f>IFERROR(IF((Lookups!Y98+Lookups!AC98)=0,1,IF((Lookups!J98+Lookups!N98)=0,1,(Lookups!AC98/(Lookups!Y98+Lookups!AC98))/(Lookups!N98/(Lookups!J98+Lookups!N98)))),1)</f>
        <v>0.94109765692644742</v>
      </c>
      <c r="I98" s="31">
        <f>IFERROR(IF(Lookups!U98=0,1,IF(Lookups!AB98=0,1,(Lookups!M98/Lookups!F98)/(Lookups!AB98/Lookups!U98))),1)</f>
        <v>1</v>
      </c>
      <c r="J98" s="31">
        <f>IFERROR(IF(Lookups!L98=0,1,(Lookups!O98-Lookups!P98)/Lookups!L98),1)</f>
        <v>-0.15696084753298531</v>
      </c>
      <c r="K98" s="31">
        <f>IFERROR(IF(Lookups!AA98=0,1,IF((Lookups!AF98+Lookups!AG98)=0,1,((Lookups!Q98+Lookups!R98)/Lookups!L98)/((Lookups!AF98+Lookups!AG98)/Lookups!AA98))),1)</f>
        <v>1.1564541399599815</v>
      </c>
      <c r="L98" s="32">
        <f t="shared" si="4"/>
        <v>-4.2423566165580722</v>
      </c>
      <c r="M98" s="29" t="str">
        <f t="shared" si="5"/>
        <v>Non-Manipulator</v>
      </c>
      <c r="N98" s="33">
        <f>IFERROR(Lookups!O98/Lookups!L98,"")</f>
        <v>-0.1571351594866042</v>
      </c>
      <c r="O98" s="34">
        <f>IFERROR(Lookups!I98/Lookups!Q98,"")</f>
        <v>8.5407591953213458E-2</v>
      </c>
      <c r="P98" s="34">
        <f>IFERROR(Lookups!S98/Lookups!T98,"")</f>
        <v>-3.3552831782428565</v>
      </c>
      <c r="Q98" s="33">
        <f>IFERROR((Lookups!L98-Lookups!AA98)/Lookups!AA98,"")</f>
        <v>-0.13251075099080764</v>
      </c>
    </row>
    <row r="100" spans="1:17" ht="15" customHeight="1" x14ac:dyDescent="0.3">
      <c r="A100" s="9" t="s">
        <v>100</v>
      </c>
      <c r="F100" s="35"/>
    </row>
    <row r="101" spans="1:17" ht="15" customHeight="1" x14ac:dyDescent="0.3">
      <c r="A101" s="12" t="s">
        <v>178</v>
      </c>
      <c r="F101" s="35"/>
    </row>
    <row r="102" spans="1:17" ht="15" customHeight="1" x14ac:dyDescent="0.3">
      <c r="A102" s="10" t="s">
        <v>179</v>
      </c>
      <c r="F102" s="35"/>
    </row>
  </sheetData>
  <autoFilter ref="A4:Q4"/>
  <mergeCells count="2">
    <mergeCell ref="A2:Q2"/>
    <mergeCell ref="A1:Q1"/>
  </mergeCells>
  <conditionalFormatting sqref="M5:M98">
    <cfRule type="expression" dxfId="1" priority="2">
      <formula>$M5="Likely Manipulator"</formula>
    </cfRule>
    <cfRule type="expression" dxfId="0" priority="3">
      <formula>$M5="Non-Manipulator"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zoomScaleNormal="100" workbookViewId="0">
      <pane ySplit="3" topLeftCell="A4" activePane="bottomLeft" state="frozen"/>
      <selection pane="bottomLeft" sqref="A1:C1"/>
    </sheetView>
  </sheetViews>
  <sheetFormatPr defaultColWidth="8.6640625" defaultRowHeight="14.4" x14ac:dyDescent="0.3"/>
  <cols>
    <col min="1" max="1" width="16" style="1" customWidth="1"/>
    <col min="2" max="3" width="55" style="1" customWidth="1"/>
  </cols>
  <sheetData>
    <row r="1" spans="1:3" ht="15.75" customHeight="1" x14ac:dyDescent="0.3">
      <c r="A1" s="111" t="s">
        <v>180</v>
      </c>
      <c r="B1" s="110"/>
      <c r="C1" s="110"/>
    </row>
    <row r="3" spans="1:3" ht="15" customHeight="1" x14ac:dyDescent="0.3">
      <c r="A3" s="3" t="s">
        <v>181</v>
      </c>
      <c r="B3" s="3" t="s">
        <v>182</v>
      </c>
      <c r="C3" s="3" t="s">
        <v>183</v>
      </c>
    </row>
    <row r="4" spans="1:3" ht="23.25" customHeight="1" x14ac:dyDescent="0.3">
      <c r="A4" s="36" t="s">
        <v>164</v>
      </c>
      <c r="B4" s="36" t="s">
        <v>184</v>
      </c>
      <c r="C4" s="36" t="s">
        <v>185</v>
      </c>
    </row>
    <row r="5" spans="1:3" ht="23.25" customHeight="1" x14ac:dyDescent="0.3">
      <c r="A5" s="36" t="s">
        <v>165</v>
      </c>
      <c r="B5" s="36" t="s">
        <v>186</v>
      </c>
      <c r="C5" s="36" t="s">
        <v>187</v>
      </c>
    </row>
    <row r="6" spans="1:3" ht="23.25" customHeight="1" x14ac:dyDescent="0.3">
      <c r="A6" s="36" t="s">
        <v>166</v>
      </c>
      <c r="B6" s="36" t="s">
        <v>188</v>
      </c>
      <c r="C6" s="36" t="s">
        <v>189</v>
      </c>
    </row>
    <row r="7" spans="1:3" ht="23.25" customHeight="1" x14ac:dyDescent="0.3">
      <c r="A7" s="36" t="s">
        <v>167</v>
      </c>
      <c r="B7" s="36" t="s">
        <v>190</v>
      </c>
      <c r="C7" s="36" t="s">
        <v>191</v>
      </c>
    </row>
    <row r="8" spans="1:3" ht="23.25" customHeight="1" x14ac:dyDescent="0.3">
      <c r="A8" s="36" t="s">
        <v>168</v>
      </c>
      <c r="B8" s="36" t="s">
        <v>192</v>
      </c>
      <c r="C8" s="36" t="s">
        <v>193</v>
      </c>
    </row>
    <row r="9" spans="1:3" ht="23.25" customHeight="1" x14ac:dyDescent="0.3">
      <c r="A9" s="36" t="s">
        <v>169</v>
      </c>
      <c r="B9" s="36" t="s">
        <v>194</v>
      </c>
      <c r="C9" s="36" t="s">
        <v>195</v>
      </c>
    </row>
    <row r="10" spans="1:3" ht="23.25" customHeight="1" x14ac:dyDescent="0.3">
      <c r="A10" s="36" t="s">
        <v>170</v>
      </c>
      <c r="B10" s="36" t="s">
        <v>196</v>
      </c>
      <c r="C10" s="36" t="s">
        <v>197</v>
      </c>
    </row>
    <row r="11" spans="1:3" ht="23.25" customHeight="1" x14ac:dyDescent="0.3">
      <c r="A11" s="36" t="s">
        <v>171</v>
      </c>
      <c r="B11" s="36" t="s">
        <v>198</v>
      </c>
      <c r="C11" s="36" t="s">
        <v>199</v>
      </c>
    </row>
    <row r="12" spans="1:3" ht="23.25" customHeight="1" x14ac:dyDescent="0.3">
      <c r="A12" s="36" t="s">
        <v>172</v>
      </c>
      <c r="B12" s="36" t="s">
        <v>200</v>
      </c>
      <c r="C12" s="36" t="s">
        <v>201</v>
      </c>
    </row>
    <row r="13" spans="1:3" ht="15" customHeight="1" x14ac:dyDescent="0.3">
      <c r="A13" s="36" t="s">
        <v>6</v>
      </c>
      <c r="B13" s="36" t="s">
        <v>202</v>
      </c>
      <c r="C13" s="36" t="s">
        <v>203</v>
      </c>
    </row>
    <row r="14" spans="1:3" ht="15" customHeight="1" x14ac:dyDescent="0.3">
      <c r="A14" s="36"/>
      <c r="B14" s="36"/>
      <c r="C14" s="36"/>
    </row>
    <row r="15" spans="1:3" ht="15" customHeight="1" x14ac:dyDescent="0.3">
      <c r="A15" s="36" t="s">
        <v>174</v>
      </c>
      <c r="B15" s="36" t="s">
        <v>204</v>
      </c>
      <c r="C15" s="36" t="s">
        <v>205</v>
      </c>
    </row>
    <row r="16" spans="1:3" ht="15" customHeight="1" x14ac:dyDescent="0.3">
      <c r="A16" s="36" t="s">
        <v>206</v>
      </c>
      <c r="B16" s="36" t="s">
        <v>207</v>
      </c>
      <c r="C16" s="36" t="s">
        <v>208</v>
      </c>
    </row>
    <row r="17" spans="1:3" ht="15" customHeight="1" x14ac:dyDescent="0.3">
      <c r="A17" s="36" t="s">
        <v>209</v>
      </c>
      <c r="B17" s="36" t="s">
        <v>210</v>
      </c>
      <c r="C17" s="36" t="s">
        <v>211</v>
      </c>
    </row>
    <row r="18" spans="1:3" ht="15" customHeight="1" x14ac:dyDescent="0.3">
      <c r="A18" s="36" t="s">
        <v>212</v>
      </c>
      <c r="B18" s="36" t="s">
        <v>213</v>
      </c>
      <c r="C18" s="36" t="s">
        <v>214</v>
      </c>
    </row>
    <row r="20" spans="1:3" ht="15" customHeight="1" x14ac:dyDescent="0.3">
      <c r="A20" s="2" t="s">
        <v>215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zoomScaleNormal="100" workbookViewId="0">
      <pane ySplit="4" topLeftCell="A5" activePane="bottomLeft" state="frozen"/>
      <selection pane="bottomLeft" sqref="A1:D1"/>
    </sheetView>
  </sheetViews>
  <sheetFormatPr defaultColWidth="8.6640625" defaultRowHeight="14.4" x14ac:dyDescent="0.3"/>
  <cols>
    <col min="1" max="1" width="22" style="1" customWidth="1"/>
    <col min="2" max="2" width="28" style="1" customWidth="1"/>
    <col min="3" max="3" width="38" style="1" customWidth="1"/>
    <col min="4" max="4" width="50" style="1" customWidth="1"/>
  </cols>
  <sheetData>
    <row r="1" spans="1:4" ht="15.75" customHeight="1" x14ac:dyDescent="0.3">
      <c r="A1" s="111" t="s">
        <v>216</v>
      </c>
      <c r="B1" s="110"/>
      <c r="C1" s="110"/>
      <c r="D1" s="110"/>
    </row>
    <row r="2" spans="1:4" ht="15" customHeight="1" x14ac:dyDescent="0.3">
      <c r="A2" s="109" t="s">
        <v>217</v>
      </c>
      <c r="B2" s="110"/>
      <c r="C2" s="110"/>
      <c r="D2" s="110"/>
    </row>
    <row r="4" spans="1:4" ht="15" customHeight="1" x14ac:dyDescent="0.3">
      <c r="A4" s="3" t="s">
        <v>218</v>
      </c>
      <c r="B4" s="3" t="s">
        <v>219</v>
      </c>
      <c r="C4" s="3" t="s">
        <v>220</v>
      </c>
      <c r="D4" s="3" t="s">
        <v>221</v>
      </c>
    </row>
    <row r="5" spans="1:4" ht="23.25" customHeight="1" x14ac:dyDescent="0.3">
      <c r="A5" s="36" t="s">
        <v>222</v>
      </c>
      <c r="B5" s="36" t="s">
        <v>223</v>
      </c>
      <c r="C5" s="36" t="s">
        <v>224</v>
      </c>
      <c r="D5" s="36" t="s">
        <v>225</v>
      </c>
    </row>
    <row r="6" spans="1:4" ht="23.25" customHeight="1" x14ac:dyDescent="0.3">
      <c r="A6" s="36" t="s">
        <v>226</v>
      </c>
      <c r="B6" s="36" t="s">
        <v>227</v>
      </c>
      <c r="C6" s="36" t="s">
        <v>228</v>
      </c>
      <c r="D6" s="36" t="s">
        <v>229</v>
      </c>
    </row>
    <row r="7" spans="1:4" ht="23.25" customHeight="1" x14ac:dyDescent="0.3">
      <c r="A7" s="36" t="s">
        <v>230</v>
      </c>
      <c r="B7" s="36" t="s">
        <v>231</v>
      </c>
      <c r="C7" s="36" t="s">
        <v>232</v>
      </c>
      <c r="D7" s="36" t="s">
        <v>233</v>
      </c>
    </row>
    <row r="8" spans="1:4" ht="15" customHeight="1" x14ac:dyDescent="0.3">
      <c r="A8" s="36" t="s">
        <v>234</v>
      </c>
      <c r="B8" s="36" t="s">
        <v>235</v>
      </c>
      <c r="C8" s="36" t="s">
        <v>236</v>
      </c>
      <c r="D8" s="36" t="s">
        <v>237</v>
      </c>
    </row>
    <row r="9" spans="1:4" ht="23.25" customHeight="1" x14ac:dyDescent="0.3">
      <c r="A9" s="36" t="s">
        <v>113</v>
      </c>
      <c r="B9" s="36" t="s">
        <v>238</v>
      </c>
      <c r="C9" s="36" t="s">
        <v>239</v>
      </c>
      <c r="D9" s="36" t="s">
        <v>240</v>
      </c>
    </row>
    <row r="10" spans="1:4" ht="15" customHeight="1" x14ac:dyDescent="0.3">
      <c r="A10" s="36" t="s">
        <v>241</v>
      </c>
      <c r="B10" s="36" t="s">
        <v>235</v>
      </c>
      <c r="C10" s="36" t="s">
        <v>242</v>
      </c>
      <c r="D10" s="36" t="s">
        <v>243</v>
      </c>
    </row>
    <row r="11" spans="1:4" ht="15" customHeight="1" x14ac:dyDescent="0.3">
      <c r="A11" s="36" t="s">
        <v>244</v>
      </c>
      <c r="B11" s="36" t="s">
        <v>235</v>
      </c>
      <c r="C11" s="36" t="s">
        <v>245</v>
      </c>
      <c r="D11" s="36" t="s">
        <v>246</v>
      </c>
    </row>
    <row r="12" spans="1:4" ht="23.25" customHeight="1" x14ac:dyDescent="0.3">
      <c r="A12" s="36" t="s">
        <v>247</v>
      </c>
      <c r="B12" s="36" t="s">
        <v>248</v>
      </c>
      <c r="C12" s="36" t="s">
        <v>249</v>
      </c>
      <c r="D12" s="36" t="s">
        <v>250</v>
      </c>
    </row>
    <row r="13" spans="1:4" ht="23.25" customHeight="1" x14ac:dyDescent="0.3">
      <c r="A13" s="36" t="s">
        <v>251</v>
      </c>
      <c r="B13" s="36" t="s">
        <v>252</v>
      </c>
      <c r="C13" s="36" t="s">
        <v>253</v>
      </c>
      <c r="D13" s="36" t="s">
        <v>254</v>
      </c>
    </row>
    <row r="14" spans="1:4" ht="23.25" customHeight="1" x14ac:dyDescent="0.3">
      <c r="A14" s="36" t="s">
        <v>255</v>
      </c>
      <c r="B14" s="36" t="s">
        <v>256</v>
      </c>
      <c r="C14" s="36" t="s">
        <v>257</v>
      </c>
      <c r="D14" s="36" t="s">
        <v>258</v>
      </c>
    </row>
    <row r="15" spans="1:4" ht="23.25" customHeight="1" x14ac:dyDescent="0.3">
      <c r="A15" s="36" t="s">
        <v>259</v>
      </c>
      <c r="B15" s="36" t="s">
        <v>260</v>
      </c>
      <c r="C15" s="36" t="s">
        <v>261</v>
      </c>
      <c r="D15" s="36" t="s">
        <v>262</v>
      </c>
    </row>
    <row r="16" spans="1:4" ht="15" customHeight="1" x14ac:dyDescent="0.3">
      <c r="A16" s="36" t="s">
        <v>263</v>
      </c>
      <c r="B16" s="36" t="s">
        <v>235</v>
      </c>
      <c r="C16" s="36" t="s">
        <v>264</v>
      </c>
      <c r="D16" s="36" t="s">
        <v>246</v>
      </c>
    </row>
    <row r="17" spans="1:4" ht="23.25" customHeight="1" x14ac:dyDescent="0.3">
      <c r="A17" s="36" t="s">
        <v>265</v>
      </c>
      <c r="B17" s="36" t="s">
        <v>266</v>
      </c>
      <c r="C17" s="36" t="s">
        <v>267</v>
      </c>
      <c r="D17" s="36" t="s">
        <v>268</v>
      </c>
    </row>
    <row r="18" spans="1:4" ht="15" customHeight="1" x14ac:dyDescent="0.3">
      <c r="A18" s="36" t="s">
        <v>269</v>
      </c>
      <c r="B18" s="36" t="s">
        <v>235</v>
      </c>
      <c r="C18" s="36" t="s">
        <v>270</v>
      </c>
      <c r="D18" s="36" t="s">
        <v>246</v>
      </c>
    </row>
    <row r="19" spans="1:4" ht="23.25" customHeight="1" x14ac:dyDescent="0.3">
      <c r="A19" s="36" t="s">
        <v>271</v>
      </c>
      <c r="B19" s="36" t="s">
        <v>235</v>
      </c>
      <c r="C19" s="36" t="s">
        <v>272</v>
      </c>
      <c r="D19" s="36" t="s">
        <v>273</v>
      </c>
    </row>
  </sheetData>
  <autoFilter ref="A4:D4"/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Listed Firms</vt:lpstr>
      <vt:lpstr>Raw Data Input</vt:lpstr>
      <vt:lpstr>Lookups</vt:lpstr>
      <vt:lpstr>M-Score &amp; Ratios</vt:lpstr>
      <vt:lpstr>Formula Reference</vt:lpstr>
      <vt:lpstr>Where to Find Each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Theophilus Abayateye</dc:creator>
  <cp:lastModifiedBy>Theophilus Abayateye</cp:lastModifiedBy>
  <cp:revision>0</cp:revision>
  <dcterms:created xsi:type="dcterms:W3CDTF">2026-06-22T20:47:36Z</dcterms:created>
  <dcterms:modified xsi:type="dcterms:W3CDTF">2026-07-29T09:09:38Z</dcterms:modified>
  <dc:language>en-US</dc:language>
</cp:coreProperties>
</file>